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xr:revisionPtr revIDLastSave="0" documentId="13_ncr:1_{9E788D2F-EECB-7546-B15B-D8F06012E475}" xr6:coauthVersionLast="47" xr6:coauthVersionMax="47" xr10:uidLastSave="{00000000-0000-0000-0000-000000000000}"/>
  <bookViews>
    <workbookView xWindow="12760" yWindow="1740" windowWidth="20900" windowHeight="11340" xr2:uid="{00000000-000D-0000-FFFF-FFFF00000000}"/>
  </bookViews>
  <sheets>
    <sheet name="Inputs" sheetId="1" r:id="rId1"/>
    <sheet name="Simulation" sheetId="2" r:id="rId2"/>
    <sheet name="Experiments" sheetId="3" r:id="rId3"/>
  </sheets>
  <definedNames>
    <definedName name="DecisionVars" hidden="1">Inputs!$B$10:$B$12</definedName>
    <definedName name="LinkedObjective" hidden="1">Inputs!$B$14</definedName>
    <definedName name="solver_adj" localSheetId="0" hidden="1">Inputs!$B$10:$B$12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itr" localSheetId="0" hidden="1">2147483647</definedName>
    <definedName name="solver_lhs1" localSheetId="0" hidden="1">Inputs!$B$10:$B$12</definedName>
    <definedName name="solver_lhs2" localSheetId="0" hidden="1">Inputs!$B$10:$B$12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opt" localSheetId="0" hidden="1">Inputs!$B$14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hs1" localSheetId="0" hidden="1">1555</definedName>
    <definedName name="solver_rhs2" localSheetId="0" hidden="1">"整数"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3" l="1" a="1"/>
  <c r="G10" i="3" s="1"/>
  <c r="F10" i="3" a="1"/>
  <c r="F10" i="3" s="1"/>
  <c r="E10" i="3" a="1"/>
  <c r="E10" i="3" s="1"/>
  <c r="G9" i="3" a="1"/>
  <c r="G9" i="3" s="1"/>
  <c r="F9" i="3" a="1"/>
  <c r="F9" i="3" s="1"/>
  <c r="E9" i="3" a="1"/>
  <c r="E9" i="3" s="1"/>
  <c r="G8" i="3" a="1"/>
  <c r="G8" i="3" s="1"/>
  <c r="F8" i="3" a="1"/>
  <c r="F8" i="3"/>
  <c r="E8" i="3" a="1"/>
  <c r="E8" i="3" s="1"/>
  <c r="G7" i="3" a="1"/>
  <c r="G7" i="3"/>
  <c r="F7" i="3" a="1"/>
  <c r="F7" i="3" s="1"/>
  <c r="E7" i="3" a="1"/>
  <c r="E7" i="3"/>
  <c r="G6" i="3" a="1"/>
  <c r="G6" i="3" s="1"/>
  <c r="F6" i="3" a="1"/>
  <c r="F6" i="3" s="1"/>
  <c r="E6" i="3" a="1"/>
  <c r="E6" i="3" s="1"/>
  <c r="G5" i="3" a="1"/>
  <c r="G5" i="3" s="1"/>
  <c r="F5" i="3" a="1"/>
  <c r="F5" i="3" s="1"/>
  <c r="E5" i="3" a="1"/>
  <c r="E5" i="3"/>
  <c r="G4" i="3" a="1"/>
  <c r="G4" i="3" s="1"/>
  <c r="F4" i="3" a="1"/>
  <c r="F4" i="3"/>
  <c r="E4" i="3" a="1"/>
  <c r="E4" i="3" s="1"/>
  <c r="G3" i="3" a="1"/>
  <c r="G3" i="3" s="1"/>
  <c r="F3" i="3" a="1"/>
  <c r="F3" i="3" s="1"/>
  <c r="E3" i="3" a="1"/>
  <c r="E3" i="3"/>
  <c r="G2" i="3" a="1"/>
  <c r="G2" i="3" s="1"/>
  <c r="F2" i="3" a="1"/>
  <c r="F2" i="3" s="1"/>
  <c r="E2" i="3" a="1"/>
  <c r="E2" i="3" s="1"/>
  <c r="C101" i="2"/>
  <c r="D101" i="2" s="1"/>
  <c r="A101" i="2"/>
  <c r="C100" i="2"/>
  <c r="D100" i="2" s="1"/>
  <c r="E100" i="2" s="1"/>
  <c r="A100" i="2"/>
  <c r="C99" i="2"/>
  <c r="D99" i="2" s="1"/>
  <c r="A99" i="2"/>
  <c r="C98" i="2"/>
  <c r="D98" i="2" s="1"/>
  <c r="A98" i="2"/>
  <c r="C97" i="2"/>
  <c r="D97" i="2" s="1"/>
  <c r="E97" i="2" s="1"/>
  <c r="F97" i="2" s="1"/>
  <c r="A97" i="2"/>
  <c r="C96" i="2"/>
  <c r="A96" i="2"/>
  <c r="C95" i="2"/>
  <c r="A95" i="2"/>
  <c r="C94" i="2"/>
  <c r="D94" i="2" s="1"/>
  <c r="E94" i="2" s="1"/>
  <c r="A94" i="2"/>
  <c r="C93" i="2"/>
  <c r="D93" i="2" s="1"/>
  <c r="E93" i="2" s="1"/>
  <c r="F93" i="2" s="1"/>
  <c r="A93" i="2"/>
  <c r="C92" i="2"/>
  <c r="D92" i="2" s="1"/>
  <c r="A92" i="2"/>
  <c r="C91" i="2"/>
  <c r="D91" i="2" s="1"/>
  <c r="A91" i="2"/>
  <c r="C90" i="2"/>
  <c r="D90" i="2" s="1"/>
  <c r="A90" i="2"/>
  <c r="C89" i="2"/>
  <c r="D89" i="2" s="1"/>
  <c r="E89" i="2" s="1"/>
  <c r="F89" i="2" s="1"/>
  <c r="A89" i="2"/>
  <c r="C88" i="2"/>
  <c r="A88" i="2"/>
  <c r="C87" i="2"/>
  <c r="D87" i="2" s="1"/>
  <c r="A87" i="2"/>
  <c r="C86" i="2"/>
  <c r="D86" i="2" s="1"/>
  <c r="A86" i="2"/>
  <c r="C85" i="2"/>
  <c r="D85" i="2" s="1"/>
  <c r="A85" i="2"/>
  <c r="C84" i="2"/>
  <c r="D84" i="2" s="1"/>
  <c r="E84" i="2" s="1"/>
  <c r="A84" i="2"/>
  <c r="C83" i="2"/>
  <c r="D83" i="2" s="1"/>
  <c r="A83" i="2"/>
  <c r="C82" i="2"/>
  <c r="D82" i="2" s="1"/>
  <c r="A82" i="2"/>
  <c r="C81" i="2"/>
  <c r="D81" i="2" s="1"/>
  <c r="E81" i="2" s="1"/>
  <c r="F81" i="2" s="1"/>
  <c r="A81" i="2"/>
  <c r="C80" i="2"/>
  <c r="D80" i="2" s="1"/>
  <c r="A80" i="2"/>
  <c r="C79" i="2"/>
  <c r="A79" i="2"/>
  <c r="C78" i="2"/>
  <c r="D78" i="2" s="1"/>
  <c r="E78" i="2" s="1"/>
  <c r="A78" i="2"/>
  <c r="C77" i="2"/>
  <c r="A77" i="2"/>
  <c r="C76" i="2"/>
  <c r="D76" i="2" s="1"/>
  <c r="A76" i="2"/>
  <c r="C75" i="2"/>
  <c r="D75" i="2" s="1"/>
  <c r="A75" i="2"/>
  <c r="C74" i="2"/>
  <c r="D74" i="2" s="1"/>
  <c r="A74" i="2"/>
  <c r="C73" i="2"/>
  <c r="D73" i="2" s="1"/>
  <c r="E73" i="2" s="1"/>
  <c r="F73" i="2" s="1"/>
  <c r="A73" i="2"/>
  <c r="C72" i="2"/>
  <c r="A72" i="2"/>
  <c r="C71" i="2"/>
  <c r="A71" i="2"/>
  <c r="C70" i="2"/>
  <c r="D70" i="2" s="1"/>
  <c r="A70" i="2"/>
  <c r="C69" i="2"/>
  <c r="D69" i="2" s="1"/>
  <c r="A69" i="2"/>
  <c r="C68" i="2"/>
  <c r="A68" i="2"/>
  <c r="C67" i="2"/>
  <c r="D67" i="2" s="1"/>
  <c r="A67" i="2"/>
  <c r="C66" i="2"/>
  <c r="D66" i="2" s="1"/>
  <c r="A66" i="2"/>
  <c r="C65" i="2"/>
  <c r="D65" i="2" s="1"/>
  <c r="E65" i="2" s="1"/>
  <c r="F65" i="2" s="1"/>
  <c r="A65" i="2"/>
  <c r="C64" i="2"/>
  <c r="A64" i="2"/>
  <c r="C63" i="2"/>
  <c r="D63" i="2" s="1"/>
  <c r="A63" i="2"/>
  <c r="C62" i="2"/>
  <c r="D62" i="2" s="1"/>
  <c r="E62" i="2" s="1"/>
  <c r="A62" i="2"/>
  <c r="C61" i="2"/>
  <c r="A61" i="2"/>
  <c r="C60" i="2"/>
  <c r="D60" i="2" s="1"/>
  <c r="A60" i="2"/>
  <c r="C59" i="2"/>
  <c r="D59" i="2" s="1"/>
  <c r="A59" i="2"/>
  <c r="C58" i="2"/>
  <c r="D58" i="2" s="1"/>
  <c r="A58" i="2"/>
  <c r="C57" i="2"/>
  <c r="D57" i="2" s="1"/>
  <c r="E57" i="2" s="1"/>
  <c r="F57" i="2" s="1"/>
  <c r="A57" i="2"/>
  <c r="C56" i="2"/>
  <c r="A56" i="2"/>
  <c r="C55" i="2"/>
  <c r="D55" i="2" s="1"/>
  <c r="A55" i="2"/>
  <c r="C54" i="2"/>
  <c r="D54" i="2" s="1"/>
  <c r="A54" i="2"/>
  <c r="C53" i="2"/>
  <c r="D53" i="2" s="1"/>
  <c r="A53" i="2"/>
  <c r="C52" i="2"/>
  <c r="D52" i="2" s="1"/>
  <c r="E52" i="2" s="1"/>
  <c r="A52" i="2"/>
  <c r="C51" i="2"/>
  <c r="D51" i="2" s="1"/>
  <c r="A51" i="2"/>
  <c r="C50" i="2"/>
  <c r="D50" i="2" s="1"/>
  <c r="A50" i="2"/>
  <c r="C49" i="2"/>
  <c r="D49" i="2" s="1"/>
  <c r="E49" i="2" s="1"/>
  <c r="F49" i="2" s="1"/>
  <c r="A49" i="2"/>
  <c r="C48" i="2"/>
  <c r="A48" i="2"/>
  <c r="C47" i="2"/>
  <c r="D47" i="2" s="1"/>
  <c r="E47" i="2" s="1"/>
  <c r="A47" i="2"/>
  <c r="C46" i="2"/>
  <c r="D46" i="2" s="1"/>
  <c r="E46" i="2" s="1"/>
  <c r="A46" i="2"/>
  <c r="C45" i="2"/>
  <c r="A45" i="2"/>
  <c r="C44" i="2"/>
  <c r="D44" i="2" s="1"/>
  <c r="A44" i="2"/>
  <c r="C43" i="2"/>
  <c r="D43" i="2" s="1"/>
  <c r="A43" i="2"/>
  <c r="C42" i="2"/>
  <c r="A42" i="2"/>
  <c r="C41" i="2"/>
  <c r="A41" i="2"/>
  <c r="C40" i="2"/>
  <c r="A40" i="2"/>
  <c r="C39" i="2"/>
  <c r="A39" i="2"/>
  <c r="C38" i="2"/>
  <c r="D38" i="2" s="1"/>
  <c r="A38" i="2"/>
  <c r="C37" i="2"/>
  <c r="D37" i="2" s="1"/>
  <c r="A37" i="2"/>
  <c r="C36" i="2"/>
  <c r="A36" i="2"/>
  <c r="C35" i="2"/>
  <c r="D35" i="2" s="1"/>
  <c r="A35" i="2"/>
  <c r="C34" i="2"/>
  <c r="A34" i="2"/>
  <c r="C33" i="2"/>
  <c r="A33" i="2"/>
  <c r="C32" i="2"/>
  <c r="A32" i="2"/>
  <c r="C31" i="2"/>
  <c r="D31" i="2" s="1"/>
  <c r="E31" i="2" s="1"/>
  <c r="F31" i="2" s="1"/>
  <c r="A31" i="2"/>
  <c r="C30" i="2"/>
  <c r="D30" i="2" s="1"/>
  <c r="E30" i="2" s="1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D23" i="2" s="1"/>
  <c r="A23" i="2"/>
  <c r="C22" i="2"/>
  <c r="D22" i="2" s="1"/>
  <c r="A22" i="2"/>
  <c r="C21" i="2"/>
  <c r="D21" i="2" s="1"/>
  <c r="E21" i="2" s="1"/>
  <c r="A21" i="2"/>
  <c r="C20" i="2"/>
  <c r="D20" i="2" s="1"/>
  <c r="A20" i="2"/>
  <c r="C19" i="2"/>
  <c r="D19" i="2" s="1"/>
  <c r="A19" i="2"/>
  <c r="C18" i="2"/>
  <c r="D18" i="2" s="1"/>
  <c r="A18" i="2"/>
  <c r="C17" i="2"/>
  <c r="D17" i="2" s="1"/>
  <c r="A17" i="2"/>
  <c r="C16" i="2"/>
  <c r="D16" i="2" s="1"/>
  <c r="A16" i="2"/>
  <c r="C15" i="2"/>
  <c r="D15" i="2" s="1"/>
  <c r="A15" i="2"/>
  <c r="C14" i="2"/>
  <c r="D14" i="2" s="1"/>
  <c r="A14" i="2"/>
  <c r="C13" i="2"/>
  <c r="D13" i="2" s="1"/>
  <c r="E13" i="2" s="1"/>
  <c r="A13" i="2"/>
  <c r="C12" i="2"/>
  <c r="D12" i="2" s="1"/>
  <c r="A12" i="2"/>
  <c r="C11" i="2"/>
  <c r="D11" i="2" s="1"/>
  <c r="A11" i="2"/>
  <c r="C10" i="2"/>
  <c r="D10" i="2" s="1"/>
  <c r="A10" i="2"/>
  <c r="L9" i="2"/>
  <c r="C9" i="2"/>
  <c r="A9" i="2"/>
  <c r="L8" i="2"/>
  <c r="C8" i="2"/>
  <c r="A8" i="2"/>
  <c r="L7" i="2"/>
  <c r="C7" i="2"/>
  <c r="A7" i="2"/>
  <c r="C6" i="2"/>
  <c r="A6" i="2"/>
  <c r="C5" i="2"/>
  <c r="D5" i="2" s="1"/>
  <c r="A5" i="2"/>
  <c r="C4" i="2"/>
  <c r="D4" i="2" s="1"/>
  <c r="A4" i="2"/>
  <c r="C3" i="2"/>
  <c r="A3" i="2"/>
  <c r="C2" i="2"/>
  <c r="A2" i="2"/>
  <c r="D95" i="2" l="1"/>
  <c r="E95" i="2" s="1"/>
  <c r="E20" i="2"/>
  <c r="F20" i="2" s="1"/>
  <c r="H20" i="2" s="1"/>
  <c r="D39" i="2"/>
  <c r="D45" i="2"/>
  <c r="E45" i="2" s="1"/>
  <c r="F45" i="2" s="1"/>
  <c r="E14" i="2"/>
  <c r="F14" i="2" s="1"/>
  <c r="I14" i="2" s="1"/>
  <c r="D56" i="2"/>
  <c r="E56" i="2" s="1"/>
  <c r="E12" i="2"/>
  <c r="F12" i="2" s="1"/>
  <c r="H12" i="2" s="1"/>
  <c r="E22" i="2"/>
  <c r="F22" i="2" s="1"/>
  <c r="H22" i="2" s="1"/>
  <c r="E80" i="2"/>
  <c r="G80" i="2" s="1"/>
  <c r="E87" i="2"/>
  <c r="F87" i="2" s="1"/>
  <c r="I87" i="2" s="1"/>
  <c r="D61" i="2"/>
  <c r="E61" i="2" s="1"/>
  <c r="F61" i="2" s="1"/>
  <c r="I61" i="2" s="1"/>
  <c r="D72" i="2"/>
  <c r="E72" i="2" s="1"/>
  <c r="E15" i="2"/>
  <c r="F15" i="2" s="1"/>
  <c r="E55" i="2"/>
  <c r="G55" i="2" s="1"/>
  <c r="D68" i="2"/>
  <c r="D96" i="2"/>
  <c r="E96" i="2" s="1"/>
  <c r="D79" i="2"/>
  <c r="E79" i="2" s="1"/>
  <c r="G79" i="2" s="1"/>
  <c r="D36" i="2"/>
  <c r="E36" i="2" s="1"/>
  <c r="F36" i="2" s="1"/>
  <c r="D64" i="2"/>
  <c r="E64" i="2" s="1"/>
  <c r="G64" i="2" s="1"/>
  <c r="D71" i="2"/>
  <c r="D77" i="2"/>
  <c r="E77" i="2" s="1"/>
  <c r="F77" i="2" s="1"/>
  <c r="D88" i="2"/>
  <c r="E88" i="2" s="1"/>
  <c r="G88" i="2" s="1"/>
  <c r="D48" i="2"/>
  <c r="E48" i="2" s="1"/>
  <c r="G48" i="2" s="1"/>
  <c r="E63" i="2"/>
  <c r="F63" i="2" s="1"/>
  <c r="E23" i="2"/>
  <c r="G23" i="2" s="1"/>
  <c r="F47" i="2"/>
  <c r="H47" i="2" s="1"/>
  <c r="I49" i="2"/>
  <c r="H49" i="2"/>
  <c r="I97" i="2"/>
  <c r="H97" i="2"/>
  <c r="H65" i="2"/>
  <c r="I65" i="2"/>
  <c r="F13" i="2"/>
  <c r="G13" i="2"/>
  <c r="I73" i="2"/>
  <c r="H73" i="2"/>
  <c r="I93" i="2"/>
  <c r="H93" i="2"/>
  <c r="I31" i="2"/>
  <c r="H31" i="2"/>
  <c r="F21" i="2"/>
  <c r="G21" i="2"/>
  <c r="I89" i="2"/>
  <c r="H89" i="2"/>
  <c r="I81" i="2"/>
  <c r="H81" i="2"/>
  <c r="I57" i="2"/>
  <c r="H57" i="2"/>
  <c r="E19" i="2"/>
  <c r="F19" i="2" s="1"/>
  <c r="G46" i="2"/>
  <c r="E51" i="2"/>
  <c r="F51" i="2" s="1"/>
  <c r="G78" i="2"/>
  <c r="D26" i="2"/>
  <c r="E26" i="2" s="1"/>
  <c r="G26" i="2" s="1"/>
  <c r="E4" i="2"/>
  <c r="F4" i="2" s="1"/>
  <c r="D7" i="2"/>
  <c r="D28" i="2"/>
  <c r="E28" i="2" s="1"/>
  <c r="G30" i="2"/>
  <c r="D34" i="2"/>
  <c r="E34" i="2" s="1"/>
  <c r="G34" i="2" s="1"/>
  <c r="E54" i="2"/>
  <c r="G54" i="2" s="1"/>
  <c r="E70" i="2"/>
  <c r="F70" i="2" s="1"/>
  <c r="E86" i="2"/>
  <c r="G86" i="2" s="1"/>
  <c r="D42" i="2"/>
  <c r="E42" i="2" s="1"/>
  <c r="F42" i="2" s="1"/>
  <c r="G62" i="2"/>
  <c r="E83" i="2"/>
  <c r="F83" i="2" s="1"/>
  <c r="G94" i="2"/>
  <c r="E99" i="2"/>
  <c r="F99" i="2" s="1"/>
  <c r="E11" i="2"/>
  <c r="F11" i="2" s="1"/>
  <c r="E67" i="2"/>
  <c r="G67" i="2" s="1"/>
  <c r="E5" i="2"/>
  <c r="G5" i="2" s="1"/>
  <c r="D8" i="2"/>
  <c r="E16" i="2"/>
  <c r="G16" i="2" s="1"/>
  <c r="E43" i="2"/>
  <c r="G43" i="2" s="1"/>
  <c r="F46" i="2"/>
  <c r="G52" i="2"/>
  <c r="F62" i="2"/>
  <c r="F78" i="2"/>
  <c r="G84" i="2"/>
  <c r="G93" i="2"/>
  <c r="F94" i="2"/>
  <c r="G100" i="2"/>
  <c r="D6" i="2"/>
  <c r="E6" i="2" s="1"/>
  <c r="E10" i="2"/>
  <c r="G10" i="2" s="1"/>
  <c r="E18" i="2"/>
  <c r="F18" i="2" s="1"/>
  <c r="F30" i="2"/>
  <c r="E38" i="2"/>
  <c r="G38" i="2" s="1"/>
  <c r="E44" i="2"/>
  <c r="G44" i="2" s="1"/>
  <c r="E53" i="2"/>
  <c r="F53" i="2" s="1"/>
  <c r="E60" i="2"/>
  <c r="F60" i="2" s="1"/>
  <c r="E69" i="2"/>
  <c r="G69" i="2" s="1"/>
  <c r="E76" i="2"/>
  <c r="F76" i="2" s="1"/>
  <c r="E85" i="2"/>
  <c r="G85" i="2" s="1"/>
  <c r="E92" i="2"/>
  <c r="F92" i="2" s="1"/>
  <c r="E101" i="2"/>
  <c r="G101" i="2" s="1"/>
  <c r="D2" i="2"/>
  <c r="E2" i="2" s="1"/>
  <c r="D3" i="2"/>
  <c r="E17" i="2"/>
  <c r="F17" i="2" s="1"/>
  <c r="D27" i="2"/>
  <c r="E27" i="2" s="1"/>
  <c r="F27" i="2" s="1"/>
  <c r="D29" i="2"/>
  <c r="E29" i="2" s="1"/>
  <c r="G29" i="2" s="1"/>
  <c r="E35" i="2"/>
  <c r="G35" i="2" s="1"/>
  <c r="E37" i="2"/>
  <c r="F37" i="2" s="1"/>
  <c r="F52" i="2"/>
  <c r="E59" i="2"/>
  <c r="F59" i="2" s="1"/>
  <c r="E75" i="2"/>
  <c r="G75" i="2" s="1"/>
  <c r="F84" i="2"/>
  <c r="E91" i="2"/>
  <c r="F91" i="2" s="1"/>
  <c r="F100" i="2"/>
  <c r="G49" i="2"/>
  <c r="G57" i="2"/>
  <c r="G65" i="2"/>
  <c r="G73" i="2"/>
  <c r="G81" i="2"/>
  <c r="G89" i="2"/>
  <c r="G97" i="2"/>
  <c r="D9" i="2"/>
  <c r="E9" i="2" s="1"/>
  <c r="D25" i="2"/>
  <c r="D33" i="2"/>
  <c r="E33" i="2" s="1"/>
  <c r="G33" i="2" s="1"/>
  <c r="D41" i="2"/>
  <c r="E41" i="2" s="1"/>
  <c r="E50" i="2"/>
  <c r="G50" i="2" s="1"/>
  <c r="E58" i="2"/>
  <c r="G58" i="2" s="1"/>
  <c r="E66" i="2"/>
  <c r="G66" i="2" s="1"/>
  <c r="E74" i="2"/>
  <c r="G74" i="2" s="1"/>
  <c r="E82" i="2"/>
  <c r="G82" i="2" s="1"/>
  <c r="E90" i="2"/>
  <c r="F90" i="2" s="1"/>
  <c r="E98" i="2"/>
  <c r="F98" i="2" s="1"/>
  <c r="D24" i="2"/>
  <c r="G31" i="2"/>
  <c r="D32" i="2"/>
  <c r="D40" i="2"/>
  <c r="G47" i="2"/>
  <c r="G76" i="2" l="1"/>
  <c r="G92" i="2"/>
  <c r="I12" i="2"/>
  <c r="G19" i="2"/>
  <c r="H14" i="2"/>
  <c r="G83" i="2"/>
  <c r="G72" i="2"/>
  <c r="G41" i="2"/>
  <c r="G99" i="2"/>
  <c r="F56" i="2"/>
  <c r="G56" i="2"/>
  <c r="I45" i="2"/>
  <c r="H45" i="2"/>
  <c r="G95" i="2"/>
  <c r="F95" i="2"/>
  <c r="G87" i="2"/>
  <c r="I22" i="2"/>
  <c r="G17" i="2"/>
  <c r="G61" i="2"/>
  <c r="I20" i="2"/>
  <c r="F74" i="2"/>
  <c r="I74" i="2" s="1"/>
  <c r="F48" i="2"/>
  <c r="H48" i="2" s="1"/>
  <c r="G15" i="2"/>
  <c r="G22" i="2"/>
  <c r="F23" i="2"/>
  <c r="I23" i="2" s="1"/>
  <c r="G51" i="2"/>
  <c r="G20" i="2"/>
  <c r="F86" i="2"/>
  <c r="I86" i="2" s="1"/>
  <c r="G45" i="2"/>
  <c r="F72" i="2"/>
  <c r="H72" i="2" s="1"/>
  <c r="F44" i="2"/>
  <c r="I44" i="2" s="1"/>
  <c r="G12" i="2"/>
  <c r="G14" i="2"/>
  <c r="E39" i="2"/>
  <c r="G39" i="2" s="1"/>
  <c r="H63" i="2"/>
  <c r="I63" i="2"/>
  <c r="I77" i="2"/>
  <c r="H77" i="2"/>
  <c r="G96" i="2"/>
  <c r="F96" i="2"/>
  <c r="F66" i="2"/>
  <c r="H66" i="2" s="1"/>
  <c r="G18" i="2"/>
  <c r="F67" i="2"/>
  <c r="I67" i="2" s="1"/>
  <c r="F80" i="2"/>
  <c r="E68" i="2"/>
  <c r="G68" i="2" s="1"/>
  <c r="G37" i="2"/>
  <c r="G91" i="2"/>
  <c r="G36" i="2"/>
  <c r="F64" i="2"/>
  <c r="G4" i="2"/>
  <c r="G11" i="2"/>
  <c r="G90" i="2"/>
  <c r="F10" i="2"/>
  <c r="H10" i="2" s="1"/>
  <c r="I15" i="2"/>
  <c r="H15" i="2"/>
  <c r="H87" i="2"/>
  <c r="H61" i="2"/>
  <c r="F69" i="2"/>
  <c r="I69" i="2" s="1"/>
  <c r="F79" i="2"/>
  <c r="E71" i="2"/>
  <c r="G71" i="2" s="1"/>
  <c r="G63" i="2"/>
  <c r="G27" i="2"/>
  <c r="F5" i="2"/>
  <c r="H5" i="2" s="1"/>
  <c r="I47" i="2"/>
  <c r="F55" i="2"/>
  <c r="E25" i="2"/>
  <c r="G25" i="2" s="1"/>
  <c r="E3" i="2"/>
  <c r="G3" i="2" s="1"/>
  <c r="G77" i="2"/>
  <c r="F88" i="2"/>
  <c r="I37" i="2"/>
  <c r="H37" i="2"/>
  <c r="I4" i="2"/>
  <c r="H4" i="2"/>
  <c r="I90" i="2"/>
  <c r="H90" i="2"/>
  <c r="I53" i="2"/>
  <c r="H53" i="2"/>
  <c r="H91" i="2"/>
  <c r="I91" i="2"/>
  <c r="H51" i="2"/>
  <c r="I51" i="2"/>
  <c r="H59" i="2"/>
  <c r="I59" i="2"/>
  <c r="I70" i="2"/>
  <c r="H70" i="2"/>
  <c r="I60" i="2"/>
  <c r="H60" i="2"/>
  <c r="I11" i="2"/>
  <c r="H11" i="2"/>
  <c r="H18" i="2"/>
  <c r="I18" i="2"/>
  <c r="I42" i="2"/>
  <c r="H42" i="2"/>
  <c r="I92" i="2"/>
  <c r="H92" i="2"/>
  <c r="H98" i="2"/>
  <c r="I98" i="2"/>
  <c r="H27" i="2"/>
  <c r="I27" i="2"/>
  <c r="H83" i="2"/>
  <c r="I83" i="2"/>
  <c r="E32" i="2"/>
  <c r="F32" i="2" s="1"/>
  <c r="I62" i="2"/>
  <c r="H62" i="2"/>
  <c r="F43" i="2"/>
  <c r="I76" i="2"/>
  <c r="H76" i="2"/>
  <c r="I36" i="2"/>
  <c r="H36" i="2"/>
  <c r="F26" i="2"/>
  <c r="I21" i="2"/>
  <c r="H21" i="2"/>
  <c r="F75" i="2"/>
  <c r="F29" i="2"/>
  <c r="F35" i="2"/>
  <c r="F101" i="2"/>
  <c r="F54" i="2"/>
  <c r="F41" i="2"/>
  <c r="G70" i="2"/>
  <c r="G98" i="2"/>
  <c r="F82" i="2"/>
  <c r="G59" i="2"/>
  <c r="E7" i="2"/>
  <c r="G7" i="2" s="1"/>
  <c r="I52" i="2"/>
  <c r="H52" i="2"/>
  <c r="E8" i="2"/>
  <c r="G8" i="2" s="1"/>
  <c r="I100" i="2"/>
  <c r="H100" i="2"/>
  <c r="I19" i="2"/>
  <c r="H19" i="2"/>
  <c r="I78" i="2"/>
  <c r="H78" i="2"/>
  <c r="F50" i="2"/>
  <c r="I17" i="2"/>
  <c r="H17" i="2"/>
  <c r="G60" i="2"/>
  <c r="F34" i="2"/>
  <c r="F28" i="2"/>
  <c r="F6" i="2"/>
  <c r="I13" i="2"/>
  <c r="H13" i="2"/>
  <c r="E40" i="2"/>
  <c r="G40" i="2" s="1"/>
  <c r="I46" i="2"/>
  <c r="H46" i="2"/>
  <c r="F58" i="2"/>
  <c r="G42" i="2"/>
  <c r="G28" i="2"/>
  <c r="G6" i="2"/>
  <c r="F16" i="2"/>
  <c r="I84" i="2"/>
  <c r="H84" i="2"/>
  <c r="G2" i="2"/>
  <c r="F9" i="2"/>
  <c r="G9" i="2"/>
  <c r="E24" i="2"/>
  <c r="G24" i="2" s="1"/>
  <c r="H99" i="2"/>
  <c r="I99" i="2"/>
  <c r="F33" i="2"/>
  <c r="F85" i="2"/>
  <c r="F38" i="2"/>
  <c r="I30" i="2"/>
  <c r="H30" i="2"/>
  <c r="I94" i="2"/>
  <c r="H94" i="2"/>
  <c r="G53" i="2"/>
  <c r="F2" i="2"/>
  <c r="H23" i="2" l="1"/>
  <c r="H44" i="2"/>
  <c r="F25" i="2"/>
  <c r="I25" i="2" s="1"/>
  <c r="I5" i="2"/>
  <c r="I72" i="2"/>
  <c r="H86" i="2"/>
  <c r="F39" i="2"/>
  <c r="I39" i="2" s="1"/>
  <c r="G32" i="2"/>
  <c r="K2" i="2" s="1"/>
  <c r="B14" i="1" s="1"/>
  <c r="I48" i="2"/>
  <c r="H74" i="2"/>
  <c r="H67" i="2"/>
  <c r="H95" i="2"/>
  <c r="I95" i="2"/>
  <c r="I56" i="2"/>
  <c r="H56" i="2"/>
  <c r="I88" i="2"/>
  <c r="H88" i="2"/>
  <c r="I66" i="2"/>
  <c r="H79" i="2"/>
  <c r="I79" i="2"/>
  <c r="I80" i="2"/>
  <c r="H80" i="2"/>
  <c r="F68" i="2"/>
  <c r="I10" i="2"/>
  <c r="H69" i="2"/>
  <c r="I55" i="2"/>
  <c r="H55" i="2"/>
  <c r="F71" i="2"/>
  <c r="I96" i="2"/>
  <c r="H96" i="2"/>
  <c r="I64" i="2"/>
  <c r="H64" i="2"/>
  <c r="F3" i="2"/>
  <c r="I28" i="2"/>
  <c r="H28" i="2"/>
  <c r="I2" i="2"/>
  <c r="H2" i="2"/>
  <c r="I85" i="2"/>
  <c r="H85" i="2"/>
  <c r="F40" i="2"/>
  <c r="I101" i="2"/>
  <c r="H101" i="2"/>
  <c r="I38" i="2"/>
  <c r="H38" i="2"/>
  <c r="I58" i="2"/>
  <c r="H58" i="2"/>
  <c r="I54" i="2"/>
  <c r="H54" i="2"/>
  <c r="I29" i="2"/>
  <c r="H29" i="2"/>
  <c r="I26" i="2"/>
  <c r="H26" i="2"/>
  <c r="H34" i="2"/>
  <c r="I34" i="2"/>
  <c r="H75" i="2"/>
  <c r="I75" i="2"/>
  <c r="I32" i="2"/>
  <c r="H32" i="2"/>
  <c r="I33" i="2"/>
  <c r="H33" i="2"/>
  <c r="F24" i="2"/>
  <c r="I16" i="2"/>
  <c r="H16" i="2"/>
  <c r="H82" i="2"/>
  <c r="I82" i="2"/>
  <c r="H50" i="2"/>
  <c r="I50" i="2"/>
  <c r="H9" i="2"/>
  <c r="I9" i="2"/>
  <c r="F7" i="2"/>
  <c r="F8" i="2"/>
  <c r="H6" i="2"/>
  <c r="I6" i="2"/>
  <c r="H41" i="2"/>
  <c r="I41" i="2"/>
  <c r="H35" i="2"/>
  <c r="I35" i="2"/>
  <c r="H43" i="2"/>
  <c r="I43" i="2"/>
  <c r="H25" i="2" l="1"/>
  <c r="H39" i="2"/>
  <c r="I68" i="2"/>
  <c r="H68" i="2"/>
  <c r="I71" i="2"/>
  <c r="H71" i="2"/>
  <c r="I3" i="2"/>
  <c r="H3" i="2"/>
  <c r="I24" i="2"/>
  <c r="H24" i="2"/>
  <c r="I7" i="2"/>
  <c r="H7" i="2"/>
  <c r="I8" i="2"/>
  <c r="H8" i="2"/>
  <c r="H40" i="2"/>
  <c r="I40" i="2"/>
  <c r="L2" i="2" l="1"/>
  <c r="M2" i="2"/>
</calcChain>
</file>

<file path=xl/sharedStrings.xml><?xml version="1.0" encoding="utf-8"?>
<sst xmlns="http://schemas.openxmlformats.org/spreadsheetml/2006/main" count="46" uniqueCount="43">
  <si>
    <t>Parameter</t>
  </si>
  <si>
    <t>High</t>
  </si>
  <si>
    <t>Medium</t>
  </si>
  <si>
    <t>Low</t>
  </si>
  <si>
    <t>Acquisition Cost</t>
  </si>
  <si>
    <t>Remanufacturing Cost</t>
  </si>
  <si>
    <t>Selling Price</t>
  </si>
  <si>
    <t>Mean Demand</t>
  </si>
  <si>
    <t>Demand SD</t>
  </si>
  <si>
    <t>Decision Variables</t>
  </si>
  <si>
    <t>Purchase High</t>
  </si>
  <si>
    <t>Purchase Medium</t>
  </si>
  <si>
    <t>Purchase Low</t>
  </si>
  <si>
    <t>Average Profit</t>
  </si>
  <si>
    <t>Scenario</t>
  </si>
  <si>
    <t>Demand</t>
  </si>
  <si>
    <t>High Reman</t>
  </si>
  <si>
    <t>Medium Reman</t>
  </si>
  <si>
    <t>Low Reman</t>
  </si>
  <si>
    <t>Units Sold</t>
  </si>
  <si>
    <t>Profit</t>
  </si>
  <si>
    <t>Unmet Demand</t>
  </si>
  <si>
    <t>Leftover Inventory</t>
  </si>
  <si>
    <t>Average Unmet Demand</t>
  </si>
  <si>
    <t>Average Leftover Inventory</t>
  </si>
  <si>
    <t>high</t>
  </si>
  <si>
    <t>Strategy</t>
  </si>
  <si>
    <t>High Qty</t>
  </si>
  <si>
    <t>Medium Qty</t>
  </si>
  <si>
    <t>Low Qty</t>
  </si>
  <si>
    <t>Avg Profit</t>
  </si>
  <si>
    <t>Avg Unmet</t>
  </si>
  <si>
    <t>Avg Leftover</t>
  </si>
  <si>
    <t>H1000</t>
  </si>
  <si>
    <t>M1000</t>
  </si>
  <si>
    <t>L1000</t>
  </si>
  <si>
    <t>H-Newsvendor</t>
  </si>
  <si>
    <t>M-Newsvendor</t>
  </si>
  <si>
    <t>L-Newsvendor</t>
  </si>
  <si>
    <t>Mix-1</t>
  </si>
  <si>
    <t>Mix-2</t>
  </si>
  <si>
    <t>Mix-3</t>
  </si>
  <si>
    <t>Solver-100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</si>
</sst>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Linux Libertine G"/>
      <family val="2"/>
    </font>
    <font>
      <sz val="12"/>
      <color theme="1"/>
      <name val="等线"/>
      <family val="2"/>
      <charset val="134"/>
    </font>
    <font>
      <sz val="9"/>
      <name val="FangSong"/>
      <family val="3"/>
      <charset val="134"/>
    </font>
    <font>
      <sz val="12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>
      <alignment vertical="center"/>
    </xf>
    <xf numFmtId="0" fontId="3" fillId="0" borderId="0" xfId="0" applyFont="1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Normal="100" workbookViewId="0">
      <selection activeCell="B14" sqref="B14"/>
    </sheetView>
  </sheetViews>
  <sheetFormatPr baseColWidth="10" defaultColWidth="10.6640625" defaultRowHeight="16"/>
  <cols>
    <col min="1" max="1" width="22.33203125" style="1" customWidth="1"/>
    <col min="2" max="2" width="9" style="1" bestFit="1" customWidth="1"/>
    <col min="3" max="3" width="9.1640625" style="1" customWidth="1"/>
    <col min="4" max="4" width="5.5" style="1" customWidth="1"/>
  </cols>
  <sheetData>
    <row r="1" spans="1:4" ht="15.7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customHeight="1">
      <c r="A2" s="2" t="s">
        <v>4</v>
      </c>
      <c r="B2" s="2">
        <v>50</v>
      </c>
      <c r="C2" s="2">
        <v>35</v>
      </c>
      <c r="D2" s="2">
        <v>5</v>
      </c>
    </row>
    <row r="3" spans="1:4" ht="15.75" customHeight="1">
      <c r="A3" s="2" t="s">
        <v>5</v>
      </c>
      <c r="B3" s="2">
        <v>30</v>
      </c>
      <c r="C3" s="2">
        <v>50</v>
      </c>
      <c r="D3" s="2">
        <v>85</v>
      </c>
    </row>
    <row r="4" spans="1:4" ht="15.75" customHeight="1">
      <c r="A4" s="2" t="s">
        <v>6</v>
      </c>
      <c r="B4" s="2">
        <v>120</v>
      </c>
      <c r="C4" s="2">
        <v>120</v>
      </c>
      <c r="D4" s="2">
        <v>120</v>
      </c>
    </row>
    <row r="6" spans="1:4" ht="15.75" customHeight="1">
      <c r="A6" s="2" t="s">
        <v>7</v>
      </c>
      <c r="B6" s="2">
        <v>1000</v>
      </c>
    </row>
    <row r="7" spans="1:4" ht="15.75" customHeight="1">
      <c r="A7" s="2" t="s">
        <v>8</v>
      </c>
      <c r="B7" s="2">
        <v>250</v>
      </c>
    </row>
    <row r="9" spans="1:4" ht="15.75" customHeight="1">
      <c r="A9" s="2" t="s">
        <v>9</v>
      </c>
    </row>
    <row r="10" spans="1:4" ht="15.75" customHeight="1">
      <c r="A10" s="2" t="s">
        <v>10</v>
      </c>
      <c r="B10" s="2">
        <v>788</v>
      </c>
    </row>
    <row r="11" spans="1:4" ht="15.75" customHeight="1">
      <c r="A11" s="2" t="s">
        <v>11</v>
      </c>
      <c r="B11" s="2">
        <v>0</v>
      </c>
    </row>
    <row r="12" spans="1:4" ht="15.75" customHeight="1">
      <c r="A12" s="2" t="s">
        <v>12</v>
      </c>
      <c r="B12" s="2">
        <v>451</v>
      </c>
    </row>
    <row r="14" spans="1:4">
      <c r="A14" s="2" t="s">
        <v>13</v>
      </c>
      <c r="B14" s="2">
        <f>Simulation!K2</f>
        <v>34393.300000000003</v>
      </c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topLeftCell="I1" zoomScaleNormal="100" workbookViewId="0">
      <selection activeCell="M31" sqref="M31"/>
    </sheetView>
  </sheetViews>
  <sheetFormatPr baseColWidth="10" defaultColWidth="10.6640625" defaultRowHeight="16"/>
  <cols>
    <col min="1" max="2" width="9.33203125" style="1" customWidth="1"/>
    <col min="3" max="3" width="12.6640625" style="1" customWidth="1"/>
    <col min="4" max="4" width="16" style="1" customWidth="1"/>
    <col min="5" max="5" width="12" style="1" customWidth="1"/>
    <col min="6" max="6" width="10.83203125" style="1" customWidth="1"/>
    <col min="8" max="8" width="16" style="1" customWidth="1"/>
    <col min="9" max="9" width="17.5" style="1" customWidth="1"/>
    <col min="10" max="10" width="13" style="1" customWidth="1"/>
    <col min="11" max="11" width="14.6640625" style="1" customWidth="1"/>
    <col min="12" max="12" width="24.5" style="1" customWidth="1"/>
    <col min="13" max="13" width="27.1640625" style="1" customWidth="1"/>
  </cols>
  <sheetData>
    <row r="1" spans="1:13" ht="15.75" customHeight="1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K1" s="2" t="s">
        <v>13</v>
      </c>
      <c r="L1" s="2" t="s">
        <v>23</v>
      </c>
      <c r="M1" s="2" t="s">
        <v>24</v>
      </c>
    </row>
    <row r="2" spans="1:13" ht="15.75" customHeight="1">
      <c r="A2" s="2">
        <f t="shared" ref="A2:A33" si="0">ROW()-1</f>
        <v>1</v>
      </c>
      <c r="B2" s="2">
        <v>882</v>
      </c>
      <c r="C2" s="2">
        <f>MIN(B2,Inputs!$B$10)</f>
        <v>788</v>
      </c>
      <c r="D2" s="2">
        <f>MIN(MAX(B2-C2,0),Inputs!$B$11)</f>
        <v>0</v>
      </c>
      <c r="E2" s="2">
        <f>MIN(MAX(B2-C2-D2,0),Inputs!$B$12)</f>
        <v>94</v>
      </c>
      <c r="F2" s="2">
        <f t="shared" ref="F2:F33" si="1">C2+D2+E2</f>
        <v>882</v>
      </c>
      <c r="G2" s="2">
        <f>Inputs!$B$4*(C2+D2+E2)
-(Inputs!$B$10*Inputs!$B$2+Inputs!$B$11*Inputs!$C$2+Inputs!$B$12*Inputs!$D$2)
-(C2*Inputs!$B$3+D2*Inputs!$C$3+E2*Inputs!$D$3)</f>
        <v>32555</v>
      </c>
      <c r="H2" s="2">
        <f t="shared" ref="H2:H33" si="2">MAX(B2-F2,0)</f>
        <v>0</v>
      </c>
      <c r="I2" s="2">
        <f>Inputs!$B$10+Inputs!$B$11+Inputs!$B$12-F2</f>
        <v>357</v>
      </c>
      <c r="K2" s="2">
        <f>AVERAGE(G2:G101)</f>
        <v>34393.300000000003</v>
      </c>
      <c r="L2" s="2">
        <f>AVERAGE(H2:H101)</f>
        <v>17.579999999999998</v>
      </c>
      <c r="M2" s="2">
        <f>AVERAGE(I2:I101)</f>
        <v>266.7</v>
      </c>
    </row>
    <row r="3" spans="1:13" ht="15.75" customHeight="1">
      <c r="A3" s="2">
        <f t="shared" si="0"/>
        <v>2</v>
      </c>
      <c r="B3" s="2">
        <v>793</v>
      </c>
      <c r="C3" s="2">
        <f>MIN(B3,Inputs!$B$10)</f>
        <v>788</v>
      </c>
      <c r="D3" s="2">
        <f>MIN(MAX(B3-C3,0),Inputs!$B$11)</f>
        <v>0</v>
      </c>
      <c r="E3" s="2">
        <f>MIN(MAX(B3-C3-D3,0),Inputs!$B$12)</f>
        <v>5</v>
      </c>
      <c r="F3" s="2">
        <f t="shared" si="1"/>
        <v>793</v>
      </c>
      <c r="G3" s="2">
        <f>Inputs!$B$4*(C3+D3+E3)
-(Inputs!$B$10*Inputs!$B$2+Inputs!$B$11*Inputs!$C$2+Inputs!$B$12*Inputs!$D$2)
-(C3*Inputs!$B$3+D3*Inputs!$C$3+E3*Inputs!$D$3)</f>
        <v>29440</v>
      </c>
      <c r="H3" s="2">
        <f t="shared" si="2"/>
        <v>0</v>
      </c>
      <c r="I3" s="2">
        <f>Inputs!$B$10+Inputs!$B$11+Inputs!$B$12-F3</f>
        <v>446</v>
      </c>
    </row>
    <row r="4" spans="1:13" ht="15.75" customHeight="1">
      <c r="A4" s="2">
        <f t="shared" si="0"/>
        <v>3</v>
      </c>
      <c r="B4" s="2">
        <v>1046</v>
      </c>
      <c r="C4" s="2">
        <f>MIN(B4,Inputs!$B$10)</f>
        <v>788</v>
      </c>
      <c r="D4" s="2">
        <f>MIN(MAX(B4-C4,0),Inputs!$B$11)</f>
        <v>0</v>
      </c>
      <c r="E4" s="2">
        <f>MIN(MAX(B4-C4-D4,0),Inputs!$B$12)</f>
        <v>258</v>
      </c>
      <c r="F4" s="2">
        <f t="shared" si="1"/>
        <v>1046</v>
      </c>
      <c r="G4" s="2">
        <f>Inputs!$B$4*(C4+D4+E4)
-(Inputs!$B$10*Inputs!$B$2+Inputs!$B$11*Inputs!$C$2+Inputs!$B$12*Inputs!$D$2)
-(C4*Inputs!$B$3+D4*Inputs!$C$3+E4*Inputs!$D$3)</f>
        <v>38295</v>
      </c>
      <c r="H4" s="2">
        <f t="shared" si="2"/>
        <v>0</v>
      </c>
      <c r="I4" s="2">
        <f>Inputs!$B$10+Inputs!$B$11+Inputs!$B$12-F4</f>
        <v>193</v>
      </c>
    </row>
    <row r="5" spans="1:13" ht="15.75" customHeight="1">
      <c r="A5" s="2">
        <f t="shared" si="0"/>
        <v>4</v>
      </c>
      <c r="B5" s="2">
        <v>1022</v>
      </c>
      <c r="C5" s="2">
        <f>MIN(B5,Inputs!$B$10)</f>
        <v>788</v>
      </c>
      <c r="D5" s="2">
        <f>MIN(MAX(B5-C5,0),Inputs!$B$11)</f>
        <v>0</v>
      </c>
      <c r="E5" s="2">
        <f>MIN(MAX(B5-C5-D5,0),Inputs!$B$12)</f>
        <v>234</v>
      </c>
      <c r="F5" s="2">
        <f t="shared" si="1"/>
        <v>1022</v>
      </c>
      <c r="G5" s="2">
        <f>Inputs!$B$4*(C5+D5+E5)
-(Inputs!$B$10*Inputs!$B$2+Inputs!$B$11*Inputs!$C$2+Inputs!$B$12*Inputs!$D$2)
-(C5*Inputs!$B$3+D5*Inputs!$C$3+E5*Inputs!$D$3)</f>
        <v>37455</v>
      </c>
      <c r="H5" s="2">
        <f t="shared" si="2"/>
        <v>0</v>
      </c>
      <c r="I5" s="2">
        <f>Inputs!$B$10+Inputs!$B$11+Inputs!$B$12-F5</f>
        <v>217</v>
      </c>
    </row>
    <row r="6" spans="1:13" ht="15.75" customHeight="1">
      <c r="A6" s="2">
        <f t="shared" si="0"/>
        <v>5</v>
      </c>
      <c r="B6" s="2">
        <v>611</v>
      </c>
      <c r="C6" s="2">
        <f>MIN(B6,Inputs!$B$10)</f>
        <v>611</v>
      </c>
      <c r="D6" s="2">
        <f>MIN(MAX(B6-C6,0),Inputs!$B$11)</f>
        <v>0</v>
      </c>
      <c r="E6" s="2">
        <f>MIN(MAX(B6-C6-D6,0),Inputs!$B$12)</f>
        <v>0</v>
      </c>
      <c r="F6" s="2">
        <f t="shared" si="1"/>
        <v>611</v>
      </c>
      <c r="G6" s="2">
        <f>Inputs!$B$4*(C6+D6+E6)
-(Inputs!$B$10*Inputs!$B$2+Inputs!$B$11*Inputs!$C$2+Inputs!$B$12*Inputs!$D$2)
-(C6*Inputs!$B$3+D6*Inputs!$C$3+E6*Inputs!$D$3)</f>
        <v>13335</v>
      </c>
      <c r="H6" s="2">
        <f t="shared" si="2"/>
        <v>0</v>
      </c>
      <c r="I6" s="2">
        <f>Inputs!$B$10+Inputs!$B$11+Inputs!$B$12-F6</f>
        <v>628</v>
      </c>
    </row>
    <row r="7" spans="1:13" ht="15.75" customHeight="1">
      <c r="A7" s="2">
        <f t="shared" si="0"/>
        <v>6</v>
      </c>
      <c r="B7" s="2">
        <v>1049</v>
      </c>
      <c r="C7" s="2">
        <f>MIN(B7,Inputs!$B$10)</f>
        <v>788</v>
      </c>
      <c r="D7" s="2">
        <f>MIN(MAX(B7-C7,0),Inputs!$B$11)</f>
        <v>0</v>
      </c>
      <c r="E7" s="2">
        <f>MIN(MAX(B7-C7-D7,0),Inputs!$B$12)</f>
        <v>261</v>
      </c>
      <c r="F7" s="2">
        <f t="shared" si="1"/>
        <v>1049</v>
      </c>
      <c r="G7" s="2">
        <f>Inputs!$B$4*(C7+D7+E7)
-(Inputs!$B$10*Inputs!$B$2+Inputs!$B$11*Inputs!$C$2+Inputs!$B$12*Inputs!$D$2)
-(C7*Inputs!$B$3+D7*Inputs!$C$3+E7*Inputs!$D$3)</f>
        <v>38400</v>
      </c>
      <c r="H7" s="2">
        <f t="shared" si="2"/>
        <v>0</v>
      </c>
      <c r="I7" s="2">
        <f>Inputs!$B$10+Inputs!$B$11+Inputs!$B$12-F7</f>
        <v>190</v>
      </c>
      <c r="K7" s="2" t="s">
        <v>25</v>
      </c>
      <c r="L7" s="2">
        <f>_xlfn.NORM.INV(40/(40+50),1000,250)</f>
        <v>965.07242527953451</v>
      </c>
    </row>
    <row r="8" spans="1:13" ht="15.75" customHeight="1">
      <c r="A8" s="2">
        <f t="shared" si="0"/>
        <v>7</v>
      </c>
      <c r="B8" s="2">
        <v>1085</v>
      </c>
      <c r="C8" s="2">
        <f>MIN(B8,Inputs!$B$10)</f>
        <v>788</v>
      </c>
      <c r="D8" s="2">
        <f>MIN(MAX(B8-C8,0),Inputs!$B$11)</f>
        <v>0</v>
      </c>
      <c r="E8" s="2">
        <f>MIN(MAX(B8-C8-D8,0),Inputs!$B$12)</f>
        <v>297</v>
      </c>
      <c r="F8" s="2">
        <f t="shared" si="1"/>
        <v>1085</v>
      </c>
      <c r="G8" s="2">
        <f>Inputs!$B$4*(C8+D8+E8)
-(Inputs!$B$10*Inputs!$B$2+Inputs!$B$11*Inputs!$C$2+Inputs!$B$12*Inputs!$D$2)
-(C8*Inputs!$B$3+D8*Inputs!$C$3+E8*Inputs!$D$3)</f>
        <v>39660</v>
      </c>
      <c r="H8" s="2">
        <f t="shared" si="2"/>
        <v>0</v>
      </c>
      <c r="I8" s="2">
        <f>Inputs!$B$10+Inputs!$B$11+Inputs!$B$12-F8</f>
        <v>154</v>
      </c>
      <c r="K8" s="2" t="s">
        <v>2</v>
      </c>
      <c r="L8" s="2">
        <f>_xlfn.NORM.INV(35/(35+35),1000,250)</f>
        <v>1000</v>
      </c>
    </row>
    <row r="9" spans="1:13" ht="15.75" customHeight="1">
      <c r="A9" s="2">
        <f t="shared" si="0"/>
        <v>8</v>
      </c>
      <c r="B9" s="2">
        <v>1032</v>
      </c>
      <c r="C9" s="2">
        <f>MIN(B9,Inputs!$B$10)</f>
        <v>788</v>
      </c>
      <c r="D9" s="2">
        <f>MIN(MAX(B9-C9,0),Inputs!$B$11)</f>
        <v>0</v>
      </c>
      <c r="E9" s="2">
        <f>MIN(MAX(B9-C9-D9,0),Inputs!$B$12)</f>
        <v>244</v>
      </c>
      <c r="F9" s="2">
        <f t="shared" si="1"/>
        <v>1032</v>
      </c>
      <c r="G9" s="2">
        <f>Inputs!$B$4*(C9+D9+E9)
-(Inputs!$B$10*Inputs!$B$2+Inputs!$B$11*Inputs!$C$2+Inputs!$B$12*Inputs!$D$2)
-(C9*Inputs!$B$3+D9*Inputs!$C$3+E9*Inputs!$D$3)</f>
        <v>37805</v>
      </c>
      <c r="H9" s="2">
        <f t="shared" si="2"/>
        <v>0</v>
      </c>
      <c r="I9" s="2">
        <f>Inputs!$B$10+Inputs!$B$11+Inputs!$B$12-F9</f>
        <v>207</v>
      </c>
      <c r="K9" s="2" t="s">
        <v>3</v>
      </c>
      <c r="L9" s="2">
        <f>_xlfn.NORM.INV(30/(30+5),1000,250)</f>
        <v>1266.8926309695355</v>
      </c>
    </row>
    <row r="10" spans="1:13" ht="15.75" customHeight="1">
      <c r="A10" s="2">
        <f t="shared" si="0"/>
        <v>9</v>
      </c>
      <c r="B10" s="2">
        <v>815</v>
      </c>
      <c r="C10" s="2">
        <f>MIN(B10,Inputs!$B$10)</f>
        <v>788</v>
      </c>
      <c r="D10" s="2">
        <f>MIN(MAX(B10-C10,0),Inputs!$B$11)</f>
        <v>0</v>
      </c>
      <c r="E10" s="2">
        <f>MIN(MAX(B10-C10-D10,0),Inputs!$B$12)</f>
        <v>27</v>
      </c>
      <c r="F10" s="2">
        <f t="shared" si="1"/>
        <v>815</v>
      </c>
      <c r="G10" s="2">
        <f>Inputs!$B$4*(C10+D10+E10)
-(Inputs!$B$10*Inputs!$B$2+Inputs!$B$11*Inputs!$C$2+Inputs!$B$12*Inputs!$D$2)
-(C10*Inputs!$B$3+D10*Inputs!$C$3+E10*Inputs!$D$3)</f>
        <v>30210</v>
      </c>
      <c r="H10" s="2">
        <f t="shared" si="2"/>
        <v>0</v>
      </c>
      <c r="I10" s="2">
        <f>Inputs!$B$10+Inputs!$B$11+Inputs!$B$12-F10</f>
        <v>424</v>
      </c>
    </row>
    <row r="11" spans="1:13" ht="15.75" customHeight="1">
      <c r="A11" s="2">
        <f t="shared" si="0"/>
        <v>10</v>
      </c>
      <c r="B11" s="2">
        <v>878</v>
      </c>
      <c r="C11" s="2">
        <f>MIN(B11,Inputs!$B$10)</f>
        <v>788</v>
      </c>
      <c r="D11" s="2">
        <f>MIN(MAX(B11-C11,0),Inputs!$B$11)</f>
        <v>0</v>
      </c>
      <c r="E11" s="2">
        <f>MIN(MAX(B11-C11-D11,0),Inputs!$B$12)</f>
        <v>90</v>
      </c>
      <c r="F11" s="2">
        <f t="shared" si="1"/>
        <v>878</v>
      </c>
      <c r="G11" s="2">
        <f>Inputs!$B$4*(C11+D11+E11)
-(Inputs!$B$10*Inputs!$B$2+Inputs!$B$11*Inputs!$C$2+Inputs!$B$12*Inputs!$D$2)
-(C11*Inputs!$B$3+D11*Inputs!$C$3+E11*Inputs!$D$3)</f>
        <v>32415</v>
      </c>
      <c r="H11" s="2">
        <f t="shared" si="2"/>
        <v>0</v>
      </c>
      <c r="I11" s="2">
        <f>Inputs!$B$10+Inputs!$B$11+Inputs!$B$12-F11</f>
        <v>361</v>
      </c>
    </row>
    <row r="12" spans="1:13" ht="15.75" customHeight="1">
      <c r="A12" s="2">
        <f t="shared" si="0"/>
        <v>11</v>
      </c>
      <c r="B12" s="2">
        <v>1109</v>
      </c>
      <c r="C12" s="2">
        <f>MIN(B12,Inputs!$B$10)</f>
        <v>788</v>
      </c>
      <c r="D12" s="2">
        <f>MIN(MAX(B12-C12,0),Inputs!$B$11)</f>
        <v>0</v>
      </c>
      <c r="E12" s="2">
        <f>MIN(MAX(B12-C12-D12,0),Inputs!$B$12)</f>
        <v>321</v>
      </c>
      <c r="F12" s="2">
        <f t="shared" si="1"/>
        <v>1109</v>
      </c>
      <c r="G12" s="2">
        <f>Inputs!$B$4*(C12+D12+E12)
-(Inputs!$B$10*Inputs!$B$2+Inputs!$B$11*Inputs!$C$2+Inputs!$B$12*Inputs!$D$2)
-(C12*Inputs!$B$3+D12*Inputs!$C$3+E12*Inputs!$D$3)</f>
        <v>40500</v>
      </c>
      <c r="H12" s="2">
        <f t="shared" si="2"/>
        <v>0</v>
      </c>
      <c r="I12" s="2">
        <f>Inputs!$B$10+Inputs!$B$11+Inputs!$B$12-F12</f>
        <v>130</v>
      </c>
    </row>
    <row r="13" spans="1:13" ht="15.75" customHeight="1">
      <c r="A13" s="2">
        <f t="shared" si="0"/>
        <v>12</v>
      </c>
      <c r="B13" s="2">
        <v>932</v>
      </c>
      <c r="C13" s="2">
        <f>MIN(B13,Inputs!$B$10)</f>
        <v>788</v>
      </c>
      <c r="D13" s="2">
        <f>MIN(MAX(B13-C13,0),Inputs!$B$11)</f>
        <v>0</v>
      </c>
      <c r="E13" s="2">
        <f>MIN(MAX(B13-C13-D13,0),Inputs!$B$12)</f>
        <v>144</v>
      </c>
      <c r="F13" s="2">
        <f t="shared" si="1"/>
        <v>932</v>
      </c>
      <c r="G13" s="2">
        <f>Inputs!$B$4*(C13+D13+E13)
-(Inputs!$B$10*Inputs!$B$2+Inputs!$B$11*Inputs!$C$2+Inputs!$B$12*Inputs!$D$2)
-(C13*Inputs!$B$3+D13*Inputs!$C$3+E13*Inputs!$D$3)</f>
        <v>34305</v>
      </c>
      <c r="H13" s="2">
        <f t="shared" si="2"/>
        <v>0</v>
      </c>
      <c r="I13" s="2">
        <f>Inputs!$B$10+Inputs!$B$11+Inputs!$B$12-F13</f>
        <v>307</v>
      </c>
    </row>
    <row r="14" spans="1:13" ht="15.75" customHeight="1">
      <c r="A14" s="2">
        <f t="shared" si="0"/>
        <v>13</v>
      </c>
      <c r="B14" s="2">
        <v>800</v>
      </c>
      <c r="C14" s="2">
        <f>MIN(B14,Inputs!$B$10)</f>
        <v>788</v>
      </c>
      <c r="D14" s="2">
        <f>MIN(MAX(B14-C14,0),Inputs!$B$11)</f>
        <v>0</v>
      </c>
      <c r="E14" s="2">
        <f>MIN(MAX(B14-C14-D14,0),Inputs!$B$12)</f>
        <v>12</v>
      </c>
      <c r="F14" s="2">
        <f t="shared" si="1"/>
        <v>800</v>
      </c>
      <c r="G14" s="2">
        <f>Inputs!$B$4*(C14+D14+E14)
-(Inputs!$B$10*Inputs!$B$2+Inputs!$B$11*Inputs!$C$2+Inputs!$B$12*Inputs!$D$2)
-(C14*Inputs!$B$3+D14*Inputs!$C$3+E14*Inputs!$D$3)</f>
        <v>29685</v>
      </c>
      <c r="H14" s="2">
        <f t="shared" si="2"/>
        <v>0</v>
      </c>
      <c r="I14" s="2">
        <f>Inputs!$B$10+Inputs!$B$11+Inputs!$B$12-F14</f>
        <v>439</v>
      </c>
    </row>
    <row r="15" spans="1:13" ht="15.75" customHeight="1">
      <c r="A15" s="2">
        <f t="shared" si="0"/>
        <v>14</v>
      </c>
      <c r="B15" s="2">
        <v>1105</v>
      </c>
      <c r="C15" s="2">
        <f>MIN(B15,Inputs!$B$10)</f>
        <v>788</v>
      </c>
      <c r="D15" s="2">
        <f>MIN(MAX(B15-C15,0),Inputs!$B$11)</f>
        <v>0</v>
      </c>
      <c r="E15" s="2">
        <f>MIN(MAX(B15-C15-D15,0),Inputs!$B$12)</f>
        <v>317</v>
      </c>
      <c r="F15" s="2">
        <f t="shared" si="1"/>
        <v>1105</v>
      </c>
      <c r="G15" s="2">
        <f>Inputs!$B$4*(C15+D15+E15)
-(Inputs!$B$10*Inputs!$B$2+Inputs!$B$11*Inputs!$C$2+Inputs!$B$12*Inputs!$D$2)
-(C15*Inputs!$B$3+D15*Inputs!$C$3+E15*Inputs!$D$3)</f>
        <v>40360</v>
      </c>
      <c r="H15" s="2">
        <f t="shared" si="2"/>
        <v>0</v>
      </c>
      <c r="I15" s="2">
        <f>Inputs!$B$10+Inputs!$B$11+Inputs!$B$12-F15</f>
        <v>134</v>
      </c>
    </row>
    <row r="16" spans="1:13" ht="15.75" customHeight="1">
      <c r="A16" s="2">
        <f t="shared" si="0"/>
        <v>15</v>
      </c>
      <c r="B16" s="2">
        <v>996</v>
      </c>
      <c r="C16" s="2">
        <f>MIN(B16,Inputs!$B$10)</f>
        <v>788</v>
      </c>
      <c r="D16" s="2">
        <f>MIN(MAX(B16-C16,0),Inputs!$B$11)</f>
        <v>0</v>
      </c>
      <c r="E16" s="2">
        <f>MIN(MAX(B16-C16-D16,0),Inputs!$B$12)</f>
        <v>208</v>
      </c>
      <c r="F16" s="2">
        <f t="shared" si="1"/>
        <v>996</v>
      </c>
      <c r="G16" s="2">
        <f>Inputs!$B$4*(C16+D16+E16)
-(Inputs!$B$10*Inputs!$B$2+Inputs!$B$11*Inputs!$C$2+Inputs!$B$12*Inputs!$D$2)
-(C16*Inputs!$B$3+D16*Inputs!$C$3+E16*Inputs!$D$3)</f>
        <v>36545</v>
      </c>
      <c r="H16" s="2">
        <f t="shared" si="2"/>
        <v>0</v>
      </c>
      <c r="I16" s="2">
        <f>Inputs!$B$10+Inputs!$B$11+Inputs!$B$12-F16</f>
        <v>243</v>
      </c>
    </row>
    <row r="17" spans="1:11" ht="15.75" customHeight="1">
      <c r="A17" s="2">
        <f t="shared" si="0"/>
        <v>16</v>
      </c>
      <c r="B17" s="2">
        <v>1164</v>
      </c>
      <c r="C17" s="2">
        <f>MIN(B17,Inputs!$B$10)</f>
        <v>788</v>
      </c>
      <c r="D17" s="2">
        <f>MIN(MAX(B17-C17,0),Inputs!$B$11)</f>
        <v>0</v>
      </c>
      <c r="E17" s="2">
        <f>MIN(MAX(B17-C17-D17,0),Inputs!$B$12)</f>
        <v>376</v>
      </c>
      <c r="F17" s="2">
        <f t="shared" si="1"/>
        <v>1164</v>
      </c>
      <c r="G17" s="2">
        <f>Inputs!$B$4*(C17+D17+E17)
-(Inputs!$B$10*Inputs!$B$2+Inputs!$B$11*Inputs!$C$2+Inputs!$B$12*Inputs!$D$2)
-(C17*Inputs!$B$3+D17*Inputs!$C$3+E17*Inputs!$D$3)</f>
        <v>42425</v>
      </c>
      <c r="H17" s="2">
        <f t="shared" si="2"/>
        <v>0</v>
      </c>
      <c r="I17" s="2">
        <f>Inputs!$B$10+Inputs!$B$11+Inputs!$B$12-F17</f>
        <v>75</v>
      </c>
    </row>
    <row r="18" spans="1:11" ht="15.75" customHeight="1">
      <c r="A18" s="2">
        <f t="shared" si="0"/>
        <v>17</v>
      </c>
      <c r="B18" s="2">
        <v>1174</v>
      </c>
      <c r="C18" s="2">
        <f>MIN(B18,Inputs!$B$10)</f>
        <v>788</v>
      </c>
      <c r="D18" s="2">
        <f>MIN(MAX(B18-C18,0),Inputs!$B$11)</f>
        <v>0</v>
      </c>
      <c r="E18" s="2">
        <f>MIN(MAX(B18-C18-D18,0),Inputs!$B$12)</f>
        <v>386</v>
      </c>
      <c r="F18" s="2">
        <f t="shared" si="1"/>
        <v>1174</v>
      </c>
      <c r="G18" s="2">
        <f>Inputs!$B$4*(C18+D18+E18)
-(Inputs!$B$10*Inputs!$B$2+Inputs!$B$11*Inputs!$C$2+Inputs!$B$12*Inputs!$D$2)
-(C18*Inputs!$B$3+D18*Inputs!$C$3+E18*Inputs!$D$3)</f>
        <v>42775</v>
      </c>
      <c r="H18" s="2">
        <f t="shared" si="2"/>
        <v>0</v>
      </c>
      <c r="I18" s="2">
        <f>Inputs!$B$10+Inputs!$B$11+Inputs!$B$12-F18</f>
        <v>65</v>
      </c>
      <c r="K18" s="2"/>
    </row>
    <row r="19" spans="1:11" ht="15.75" customHeight="1">
      <c r="A19" s="2">
        <f t="shared" si="0"/>
        <v>18</v>
      </c>
      <c r="B19" s="2">
        <v>886</v>
      </c>
      <c r="C19" s="2">
        <f>MIN(B19,Inputs!$B$10)</f>
        <v>788</v>
      </c>
      <c r="D19" s="2">
        <f>MIN(MAX(B19-C19,0),Inputs!$B$11)</f>
        <v>0</v>
      </c>
      <c r="E19" s="2">
        <f>MIN(MAX(B19-C19-D19,0),Inputs!$B$12)</f>
        <v>98</v>
      </c>
      <c r="F19" s="2">
        <f t="shared" si="1"/>
        <v>886</v>
      </c>
      <c r="G19" s="2">
        <f>Inputs!$B$4*(C19+D19+E19)
-(Inputs!$B$10*Inputs!$B$2+Inputs!$B$11*Inputs!$C$2+Inputs!$B$12*Inputs!$D$2)
-(C19*Inputs!$B$3+D19*Inputs!$C$3+E19*Inputs!$D$3)</f>
        <v>32695</v>
      </c>
      <c r="H19" s="2">
        <f t="shared" si="2"/>
        <v>0</v>
      </c>
      <c r="I19" s="2">
        <f>Inputs!$B$10+Inputs!$B$11+Inputs!$B$12-F19</f>
        <v>353</v>
      </c>
      <c r="K19" s="2"/>
    </row>
    <row r="20" spans="1:11" ht="15.75" customHeight="1">
      <c r="A20" s="2">
        <f t="shared" si="0"/>
        <v>19</v>
      </c>
      <c r="B20" s="2">
        <v>933</v>
      </c>
      <c r="C20" s="2">
        <f>MIN(B20,Inputs!$B$10)</f>
        <v>788</v>
      </c>
      <c r="D20" s="2">
        <f>MIN(MAX(B20-C20,0),Inputs!$B$11)</f>
        <v>0</v>
      </c>
      <c r="E20" s="2">
        <f>MIN(MAX(B20-C20-D20,0),Inputs!$B$12)</f>
        <v>145</v>
      </c>
      <c r="F20" s="2">
        <f t="shared" si="1"/>
        <v>933</v>
      </c>
      <c r="G20" s="2">
        <f>Inputs!$B$4*(C20+D20+E20)
-(Inputs!$B$10*Inputs!$B$2+Inputs!$B$11*Inputs!$C$2+Inputs!$B$12*Inputs!$D$2)
-(C20*Inputs!$B$3+D20*Inputs!$C$3+E20*Inputs!$D$3)</f>
        <v>34340</v>
      </c>
      <c r="H20" s="2">
        <f t="shared" si="2"/>
        <v>0</v>
      </c>
      <c r="I20" s="2">
        <f>Inputs!$B$10+Inputs!$B$11+Inputs!$B$12-F20</f>
        <v>306</v>
      </c>
      <c r="K20" s="2"/>
    </row>
    <row r="21" spans="1:11" ht="15.75" customHeight="1">
      <c r="A21" s="2">
        <f t="shared" si="0"/>
        <v>20</v>
      </c>
      <c r="B21" s="2">
        <v>650</v>
      </c>
      <c r="C21" s="2">
        <f>MIN(B21,Inputs!$B$10)</f>
        <v>650</v>
      </c>
      <c r="D21" s="2">
        <f>MIN(MAX(B21-C21,0),Inputs!$B$11)</f>
        <v>0</v>
      </c>
      <c r="E21" s="2">
        <f>MIN(MAX(B21-C21-D21,0),Inputs!$B$12)</f>
        <v>0</v>
      </c>
      <c r="F21" s="2">
        <f t="shared" si="1"/>
        <v>650</v>
      </c>
      <c r="G21" s="2">
        <f>Inputs!$B$4*(C21+D21+E21)
-(Inputs!$B$10*Inputs!$B$2+Inputs!$B$11*Inputs!$C$2+Inputs!$B$12*Inputs!$D$2)
-(C21*Inputs!$B$3+D21*Inputs!$C$3+E21*Inputs!$D$3)</f>
        <v>16845</v>
      </c>
      <c r="H21" s="2">
        <f t="shared" si="2"/>
        <v>0</v>
      </c>
      <c r="I21" s="2">
        <f>Inputs!$B$10+Inputs!$B$11+Inputs!$B$12-F21</f>
        <v>589</v>
      </c>
      <c r="K21" s="2"/>
    </row>
    <row r="22" spans="1:11" ht="15.75" customHeight="1">
      <c r="A22" s="2">
        <f t="shared" si="0"/>
        <v>21</v>
      </c>
      <c r="B22" s="2">
        <v>1283</v>
      </c>
      <c r="C22" s="2">
        <f>MIN(B22,Inputs!$B$10)</f>
        <v>788</v>
      </c>
      <c r="D22" s="2">
        <f>MIN(MAX(B22-C22,0),Inputs!$B$11)</f>
        <v>0</v>
      </c>
      <c r="E22" s="2">
        <f>MIN(MAX(B22-C22-D22,0),Inputs!$B$12)</f>
        <v>451</v>
      </c>
      <c r="F22" s="2">
        <f t="shared" si="1"/>
        <v>1239</v>
      </c>
      <c r="G22" s="2">
        <f>Inputs!$B$4*(C22+D22+E22)
-(Inputs!$B$10*Inputs!$B$2+Inputs!$B$11*Inputs!$C$2+Inputs!$B$12*Inputs!$D$2)
-(C22*Inputs!$B$3+D22*Inputs!$C$3+E22*Inputs!$D$3)</f>
        <v>45050</v>
      </c>
      <c r="H22" s="2">
        <f t="shared" si="2"/>
        <v>44</v>
      </c>
      <c r="I22" s="2">
        <f>Inputs!$B$10+Inputs!$B$11+Inputs!$B$12-F22</f>
        <v>0</v>
      </c>
      <c r="K22" s="2"/>
    </row>
    <row r="23" spans="1:11" ht="15.75" customHeight="1">
      <c r="A23" s="2">
        <f t="shared" si="0"/>
        <v>22</v>
      </c>
      <c r="B23" s="2">
        <v>1413</v>
      </c>
      <c r="C23" s="2">
        <f>MIN(B23,Inputs!$B$10)</f>
        <v>788</v>
      </c>
      <c r="D23" s="2">
        <f>MIN(MAX(B23-C23,0),Inputs!$B$11)</f>
        <v>0</v>
      </c>
      <c r="E23" s="2">
        <f>MIN(MAX(B23-C23-D23,0),Inputs!$B$12)</f>
        <v>451</v>
      </c>
      <c r="F23" s="2">
        <f t="shared" si="1"/>
        <v>1239</v>
      </c>
      <c r="G23" s="2">
        <f>Inputs!$B$4*(C23+D23+E23)
-(Inputs!$B$10*Inputs!$B$2+Inputs!$B$11*Inputs!$C$2+Inputs!$B$12*Inputs!$D$2)
-(C23*Inputs!$B$3+D23*Inputs!$C$3+E23*Inputs!$D$3)</f>
        <v>45050</v>
      </c>
      <c r="H23" s="2">
        <f t="shared" si="2"/>
        <v>174</v>
      </c>
      <c r="I23" s="2">
        <f>Inputs!$B$10+Inputs!$B$11+Inputs!$B$12-F23</f>
        <v>0</v>
      </c>
      <c r="K23" s="2"/>
    </row>
    <row r="24" spans="1:11" ht="15.75" customHeight="1">
      <c r="A24" s="2">
        <f t="shared" si="0"/>
        <v>23</v>
      </c>
      <c r="B24" s="2">
        <v>1040</v>
      </c>
      <c r="C24" s="2">
        <f>MIN(B24,Inputs!$B$10)</f>
        <v>788</v>
      </c>
      <c r="D24" s="2">
        <f>MIN(MAX(B24-C24,0),Inputs!$B$11)</f>
        <v>0</v>
      </c>
      <c r="E24" s="2">
        <f>MIN(MAX(B24-C24-D24,0),Inputs!$B$12)</f>
        <v>252</v>
      </c>
      <c r="F24" s="2">
        <f t="shared" si="1"/>
        <v>1040</v>
      </c>
      <c r="G24" s="2">
        <f>Inputs!$B$4*(C24+D24+E24)
-(Inputs!$B$10*Inputs!$B$2+Inputs!$B$11*Inputs!$C$2+Inputs!$B$12*Inputs!$D$2)
-(C24*Inputs!$B$3+D24*Inputs!$C$3+E24*Inputs!$D$3)</f>
        <v>38085</v>
      </c>
      <c r="H24" s="2">
        <f t="shared" si="2"/>
        <v>0</v>
      </c>
      <c r="I24" s="2">
        <f>Inputs!$B$10+Inputs!$B$11+Inputs!$B$12-F24</f>
        <v>199</v>
      </c>
      <c r="K24" s="2"/>
    </row>
    <row r="25" spans="1:11" ht="15.75" customHeight="1">
      <c r="A25" s="2">
        <f t="shared" si="0"/>
        <v>24</v>
      </c>
      <c r="B25" s="2">
        <v>766</v>
      </c>
      <c r="C25" s="2">
        <f>MIN(B25,Inputs!$B$10)</f>
        <v>766</v>
      </c>
      <c r="D25" s="2">
        <f>MIN(MAX(B25-C25,0),Inputs!$B$11)</f>
        <v>0</v>
      </c>
      <c r="E25" s="2">
        <f>MIN(MAX(B25-C25-D25,0),Inputs!$B$12)</f>
        <v>0</v>
      </c>
      <c r="F25" s="2">
        <f t="shared" si="1"/>
        <v>766</v>
      </c>
      <c r="G25" s="2">
        <f>Inputs!$B$4*(C25+D25+E25)
-(Inputs!$B$10*Inputs!$B$2+Inputs!$B$11*Inputs!$C$2+Inputs!$B$12*Inputs!$D$2)
-(C25*Inputs!$B$3+D25*Inputs!$C$3+E25*Inputs!$D$3)</f>
        <v>27285</v>
      </c>
      <c r="H25" s="2">
        <f t="shared" si="2"/>
        <v>0</v>
      </c>
      <c r="I25" s="2">
        <f>Inputs!$B$10+Inputs!$B$11+Inputs!$B$12-F25</f>
        <v>473</v>
      </c>
      <c r="K25" s="2"/>
    </row>
    <row r="26" spans="1:11" ht="15.75" customHeight="1">
      <c r="A26" s="2">
        <f t="shared" si="0"/>
        <v>25</v>
      </c>
      <c r="B26" s="2">
        <v>552</v>
      </c>
      <c r="C26" s="2">
        <f>MIN(B26,Inputs!$B$10)</f>
        <v>552</v>
      </c>
      <c r="D26" s="2">
        <f>MIN(MAX(B26-C26,0),Inputs!$B$11)</f>
        <v>0</v>
      </c>
      <c r="E26" s="2">
        <f>MIN(MAX(B26-C26-D26,0),Inputs!$B$12)</f>
        <v>0</v>
      </c>
      <c r="F26" s="2">
        <f t="shared" si="1"/>
        <v>552</v>
      </c>
      <c r="G26" s="2">
        <f>Inputs!$B$4*(C26+D26+E26)
-(Inputs!$B$10*Inputs!$B$2+Inputs!$B$11*Inputs!$C$2+Inputs!$B$12*Inputs!$D$2)
-(C26*Inputs!$B$3+D26*Inputs!$C$3+E26*Inputs!$D$3)</f>
        <v>8025</v>
      </c>
      <c r="H26" s="2">
        <f t="shared" si="2"/>
        <v>0</v>
      </c>
      <c r="I26" s="2">
        <f>Inputs!$B$10+Inputs!$B$11+Inputs!$B$12-F26</f>
        <v>687</v>
      </c>
      <c r="K26" s="2"/>
    </row>
    <row r="27" spans="1:11" ht="15.75" customHeight="1">
      <c r="A27" s="2">
        <f t="shared" si="0"/>
        <v>26</v>
      </c>
      <c r="B27" s="2">
        <v>1287</v>
      </c>
      <c r="C27" s="2">
        <f>MIN(B27,Inputs!$B$10)</f>
        <v>788</v>
      </c>
      <c r="D27" s="2">
        <f>MIN(MAX(B27-C27,0),Inputs!$B$11)</f>
        <v>0</v>
      </c>
      <c r="E27" s="2">
        <f>MIN(MAX(B27-C27-D27,0),Inputs!$B$12)</f>
        <v>451</v>
      </c>
      <c r="F27" s="2">
        <f t="shared" si="1"/>
        <v>1239</v>
      </c>
      <c r="G27" s="2">
        <f>Inputs!$B$4*(C27+D27+E27)
-(Inputs!$B$10*Inputs!$B$2+Inputs!$B$11*Inputs!$C$2+Inputs!$B$12*Inputs!$D$2)
-(C27*Inputs!$B$3+D27*Inputs!$C$3+E27*Inputs!$D$3)</f>
        <v>45050</v>
      </c>
      <c r="H27" s="2">
        <f t="shared" si="2"/>
        <v>48</v>
      </c>
      <c r="I27" s="2">
        <f>Inputs!$B$10+Inputs!$B$11+Inputs!$B$12-F27</f>
        <v>0</v>
      </c>
      <c r="K27" s="2"/>
    </row>
    <row r="28" spans="1:11" ht="15.75" customHeight="1">
      <c r="A28" s="2">
        <f t="shared" si="0"/>
        <v>27</v>
      </c>
      <c r="B28" s="2">
        <v>815</v>
      </c>
      <c r="C28" s="2">
        <f>MIN(B28,Inputs!$B$10)</f>
        <v>788</v>
      </c>
      <c r="D28" s="2">
        <f>MIN(MAX(B28-C28,0),Inputs!$B$11)</f>
        <v>0</v>
      </c>
      <c r="E28" s="2">
        <f>MIN(MAX(B28-C28-D28,0),Inputs!$B$12)</f>
        <v>27</v>
      </c>
      <c r="F28" s="2">
        <f t="shared" si="1"/>
        <v>815</v>
      </c>
      <c r="G28" s="2">
        <f>Inputs!$B$4*(C28+D28+E28)
-(Inputs!$B$10*Inputs!$B$2+Inputs!$B$11*Inputs!$C$2+Inputs!$B$12*Inputs!$D$2)
-(C28*Inputs!$B$3+D28*Inputs!$C$3+E28*Inputs!$D$3)</f>
        <v>30210</v>
      </c>
      <c r="H28" s="2">
        <f t="shared" si="2"/>
        <v>0</v>
      </c>
      <c r="I28" s="2">
        <f>Inputs!$B$10+Inputs!$B$11+Inputs!$B$12-F28</f>
        <v>424</v>
      </c>
    </row>
    <row r="29" spans="1:11" ht="15.75" customHeight="1">
      <c r="A29" s="2">
        <f t="shared" si="0"/>
        <v>28</v>
      </c>
      <c r="B29" s="2">
        <v>1048</v>
      </c>
      <c r="C29" s="2">
        <f>MIN(B29,Inputs!$B$10)</f>
        <v>788</v>
      </c>
      <c r="D29" s="2">
        <f>MIN(MAX(B29-C29,0),Inputs!$B$11)</f>
        <v>0</v>
      </c>
      <c r="E29" s="2">
        <f>MIN(MAX(B29-C29-D29,0),Inputs!$B$12)</f>
        <v>260</v>
      </c>
      <c r="F29" s="2">
        <f t="shared" si="1"/>
        <v>1048</v>
      </c>
      <c r="G29" s="2">
        <f>Inputs!$B$4*(C29+D29+E29)
-(Inputs!$B$10*Inputs!$B$2+Inputs!$B$11*Inputs!$C$2+Inputs!$B$12*Inputs!$D$2)
-(C29*Inputs!$B$3+D29*Inputs!$C$3+E29*Inputs!$D$3)</f>
        <v>38365</v>
      </c>
      <c r="H29" s="2">
        <f t="shared" si="2"/>
        <v>0</v>
      </c>
      <c r="I29" s="2">
        <f>Inputs!$B$10+Inputs!$B$11+Inputs!$B$12-F29</f>
        <v>191</v>
      </c>
    </row>
    <row r="30" spans="1:11" ht="15.75" customHeight="1">
      <c r="A30" s="2">
        <f t="shared" si="0"/>
        <v>29</v>
      </c>
      <c r="B30" s="2">
        <v>1050</v>
      </c>
      <c r="C30" s="2">
        <f>MIN(B30,Inputs!$B$10)</f>
        <v>788</v>
      </c>
      <c r="D30" s="2">
        <f>MIN(MAX(B30-C30,0),Inputs!$B$11)</f>
        <v>0</v>
      </c>
      <c r="E30" s="2">
        <f>MIN(MAX(B30-C30-D30,0),Inputs!$B$12)</f>
        <v>262</v>
      </c>
      <c r="F30" s="2">
        <f t="shared" si="1"/>
        <v>1050</v>
      </c>
      <c r="G30" s="2">
        <f>Inputs!$B$4*(C30+D30+E30)
-(Inputs!$B$10*Inputs!$B$2+Inputs!$B$11*Inputs!$C$2+Inputs!$B$12*Inputs!$D$2)
-(C30*Inputs!$B$3+D30*Inputs!$C$3+E30*Inputs!$D$3)</f>
        <v>38435</v>
      </c>
      <c r="H30" s="2">
        <f t="shared" si="2"/>
        <v>0</v>
      </c>
      <c r="I30" s="2">
        <f>Inputs!$B$10+Inputs!$B$11+Inputs!$B$12-F30</f>
        <v>189</v>
      </c>
    </row>
    <row r="31" spans="1:11" ht="15.75" customHeight="1">
      <c r="A31" s="2">
        <f t="shared" si="0"/>
        <v>30</v>
      </c>
      <c r="B31" s="2">
        <v>1239</v>
      </c>
      <c r="C31" s="2">
        <f>MIN(B31,Inputs!$B$10)</f>
        <v>788</v>
      </c>
      <c r="D31" s="2">
        <f>MIN(MAX(B31-C31,0),Inputs!$B$11)</f>
        <v>0</v>
      </c>
      <c r="E31" s="2">
        <f>MIN(MAX(B31-C31-D31,0),Inputs!$B$12)</f>
        <v>451</v>
      </c>
      <c r="F31" s="2">
        <f t="shared" si="1"/>
        <v>1239</v>
      </c>
      <c r="G31" s="2">
        <f>Inputs!$B$4*(C31+D31+E31)
-(Inputs!$B$10*Inputs!$B$2+Inputs!$B$11*Inputs!$C$2+Inputs!$B$12*Inputs!$D$2)
-(C31*Inputs!$B$3+D31*Inputs!$C$3+E31*Inputs!$D$3)</f>
        <v>45050</v>
      </c>
      <c r="H31" s="2">
        <f t="shared" si="2"/>
        <v>0</v>
      </c>
      <c r="I31" s="2">
        <f>Inputs!$B$10+Inputs!$B$11+Inputs!$B$12-F31</f>
        <v>0</v>
      </c>
    </row>
    <row r="32" spans="1:11" ht="15.75" customHeight="1">
      <c r="A32" s="2">
        <f t="shared" si="0"/>
        <v>31</v>
      </c>
      <c r="B32" s="2">
        <v>1160</v>
      </c>
      <c r="C32" s="2">
        <f>MIN(B32,Inputs!$B$10)</f>
        <v>788</v>
      </c>
      <c r="D32" s="2">
        <f>MIN(MAX(B32-C32,0),Inputs!$B$11)</f>
        <v>0</v>
      </c>
      <c r="E32" s="2">
        <f>MIN(MAX(B32-C32-D32,0),Inputs!$B$12)</f>
        <v>372</v>
      </c>
      <c r="F32" s="2">
        <f t="shared" si="1"/>
        <v>1160</v>
      </c>
      <c r="G32" s="2">
        <f>Inputs!$B$4*(C32+D32+E32)
-(Inputs!$B$10*Inputs!$B$2+Inputs!$B$11*Inputs!$C$2+Inputs!$B$12*Inputs!$D$2)
-(C32*Inputs!$B$3+D32*Inputs!$C$3+E32*Inputs!$D$3)</f>
        <v>42285</v>
      </c>
      <c r="H32" s="2">
        <f t="shared" si="2"/>
        <v>0</v>
      </c>
      <c r="I32" s="2">
        <f>Inputs!$B$10+Inputs!$B$11+Inputs!$B$12-F32</f>
        <v>79</v>
      </c>
    </row>
    <row r="33" spans="1:9" ht="15.75" customHeight="1">
      <c r="A33" s="2">
        <f t="shared" si="0"/>
        <v>32</v>
      </c>
      <c r="B33" s="2">
        <v>1038</v>
      </c>
      <c r="C33" s="2">
        <f>MIN(B33,Inputs!$B$10)</f>
        <v>788</v>
      </c>
      <c r="D33" s="2">
        <f>MIN(MAX(B33-C33,0),Inputs!$B$11)</f>
        <v>0</v>
      </c>
      <c r="E33" s="2">
        <f>MIN(MAX(B33-C33-D33,0),Inputs!$B$12)</f>
        <v>250</v>
      </c>
      <c r="F33" s="2">
        <f t="shared" si="1"/>
        <v>1038</v>
      </c>
      <c r="G33" s="2">
        <f>Inputs!$B$4*(C33+D33+E33)
-(Inputs!$B$10*Inputs!$B$2+Inputs!$B$11*Inputs!$C$2+Inputs!$B$12*Inputs!$D$2)
-(C33*Inputs!$B$3+D33*Inputs!$C$3+E33*Inputs!$D$3)</f>
        <v>38015</v>
      </c>
      <c r="H33" s="2">
        <f t="shared" si="2"/>
        <v>0</v>
      </c>
      <c r="I33" s="2">
        <f>Inputs!$B$10+Inputs!$B$11+Inputs!$B$12-F33</f>
        <v>201</v>
      </c>
    </row>
    <row r="34" spans="1:9" ht="15.75" customHeight="1">
      <c r="A34" s="2">
        <f t="shared" ref="A34:A65" si="3">ROW()-1</f>
        <v>33</v>
      </c>
      <c r="B34" s="2">
        <v>829</v>
      </c>
      <c r="C34" s="2">
        <f>MIN(B34,Inputs!$B$10)</f>
        <v>788</v>
      </c>
      <c r="D34" s="2">
        <f>MIN(MAX(B34-C34,0),Inputs!$B$11)</f>
        <v>0</v>
      </c>
      <c r="E34" s="2">
        <f>MIN(MAX(B34-C34-D34,0),Inputs!$B$12)</f>
        <v>41</v>
      </c>
      <c r="F34" s="2">
        <f t="shared" ref="F34:F65" si="4">C34+D34+E34</f>
        <v>829</v>
      </c>
      <c r="G34" s="2">
        <f>Inputs!$B$4*(C34+D34+E34)
-(Inputs!$B$10*Inputs!$B$2+Inputs!$B$11*Inputs!$C$2+Inputs!$B$12*Inputs!$D$2)
-(C34*Inputs!$B$3+D34*Inputs!$C$3+E34*Inputs!$D$3)</f>
        <v>30700</v>
      </c>
      <c r="H34" s="2">
        <f t="shared" ref="H34:H65" si="5">MAX(B34-F34,0)</f>
        <v>0</v>
      </c>
      <c r="I34" s="2">
        <f>Inputs!$B$10+Inputs!$B$11+Inputs!$B$12-F34</f>
        <v>410</v>
      </c>
    </row>
    <row r="35" spans="1:9" ht="15.75" customHeight="1">
      <c r="A35" s="2">
        <f t="shared" si="3"/>
        <v>34</v>
      </c>
      <c r="B35" s="2">
        <v>818</v>
      </c>
      <c r="C35" s="2">
        <f>MIN(B35,Inputs!$B$10)</f>
        <v>788</v>
      </c>
      <c r="D35" s="2">
        <f>MIN(MAX(B35-C35,0),Inputs!$B$11)</f>
        <v>0</v>
      </c>
      <c r="E35" s="2">
        <f>MIN(MAX(B35-C35-D35,0),Inputs!$B$12)</f>
        <v>30</v>
      </c>
      <c r="F35" s="2">
        <f t="shared" si="4"/>
        <v>818</v>
      </c>
      <c r="G35" s="2">
        <f>Inputs!$B$4*(C35+D35+E35)
-(Inputs!$B$10*Inputs!$B$2+Inputs!$B$11*Inputs!$C$2+Inputs!$B$12*Inputs!$D$2)
-(C35*Inputs!$B$3+D35*Inputs!$C$3+E35*Inputs!$D$3)</f>
        <v>30315</v>
      </c>
      <c r="H35" s="2">
        <f t="shared" si="5"/>
        <v>0</v>
      </c>
      <c r="I35" s="2">
        <f>Inputs!$B$10+Inputs!$B$11+Inputs!$B$12-F35</f>
        <v>421</v>
      </c>
    </row>
    <row r="36" spans="1:9" ht="15.75" customHeight="1">
      <c r="A36" s="2">
        <f t="shared" si="3"/>
        <v>35</v>
      </c>
      <c r="B36" s="2">
        <v>1084</v>
      </c>
      <c r="C36" s="2">
        <f>MIN(B36,Inputs!$B$10)</f>
        <v>788</v>
      </c>
      <c r="D36" s="2">
        <f>MIN(MAX(B36-C36,0),Inputs!$B$11)</f>
        <v>0</v>
      </c>
      <c r="E36" s="2">
        <f>MIN(MAX(B36-C36-D36,0),Inputs!$B$12)</f>
        <v>296</v>
      </c>
      <c r="F36" s="2">
        <f t="shared" si="4"/>
        <v>1084</v>
      </c>
      <c r="G36" s="2">
        <f>Inputs!$B$4*(C36+D36+E36)
-(Inputs!$B$10*Inputs!$B$2+Inputs!$B$11*Inputs!$C$2+Inputs!$B$12*Inputs!$D$2)
-(C36*Inputs!$B$3+D36*Inputs!$C$3+E36*Inputs!$D$3)</f>
        <v>39625</v>
      </c>
      <c r="H36" s="2">
        <f t="shared" si="5"/>
        <v>0</v>
      </c>
      <c r="I36" s="2">
        <f>Inputs!$B$10+Inputs!$B$11+Inputs!$B$12-F36</f>
        <v>155</v>
      </c>
    </row>
    <row r="37" spans="1:9" ht="15.75" customHeight="1">
      <c r="A37" s="2">
        <f t="shared" si="3"/>
        <v>36</v>
      </c>
      <c r="B37" s="2">
        <v>602</v>
      </c>
      <c r="C37" s="2">
        <f>MIN(B37,Inputs!$B$10)</f>
        <v>602</v>
      </c>
      <c r="D37" s="2">
        <f>MIN(MAX(B37-C37,0),Inputs!$B$11)</f>
        <v>0</v>
      </c>
      <c r="E37" s="2">
        <f>MIN(MAX(B37-C37-D37,0),Inputs!$B$12)</f>
        <v>0</v>
      </c>
      <c r="F37" s="2">
        <f t="shared" si="4"/>
        <v>602</v>
      </c>
      <c r="G37" s="2">
        <f>Inputs!$B$4*(C37+D37+E37)
-(Inputs!$B$10*Inputs!$B$2+Inputs!$B$11*Inputs!$C$2+Inputs!$B$12*Inputs!$D$2)
-(C37*Inputs!$B$3+D37*Inputs!$C$3+E37*Inputs!$D$3)</f>
        <v>12525</v>
      </c>
      <c r="H37" s="2">
        <f t="shared" si="5"/>
        <v>0</v>
      </c>
      <c r="I37" s="2">
        <f>Inputs!$B$10+Inputs!$B$11+Inputs!$B$12-F37</f>
        <v>637</v>
      </c>
    </row>
    <row r="38" spans="1:9" ht="15.75" customHeight="1">
      <c r="A38" s="2">
        <f t="shared" si="3"/>
        <v>37</v>
      </c>
      <c r="B38" s="2">
        <v>1025</v>
      </c>
      <c r="C38" s="2">
        <f>MIN(B38,Inputs!$B$10)</f>
        <v>788</v>
      </c>
      <c r="D38" s="2">
        <f>MIN(MAX(B38-C38,0),Inputs!$B$11)</f>
        <v>0</v>
      </c>
      <c r="E38" s="2">
        <f>MIN(MAX(B38-C38-D38,0),Inputs!$B$12)</f>
        <v>237</v>
      </c>
      <c r="F38" s="2">
        <f t="shared" si="4"/>
        <v>1025</v>
      </c>
      <c r="G38" s="2">
        <f>Inputs!$B$4*(C38+D38+E38)
-(Inputs!$B$10*Inputs!$B$2+Inputs!$B$11*Inputs!$C$2+Inputs!$B$12*Inputs!$D$2)
-(C38*Inputs!$B$3+D38*Inputs!$C$3+E38*Inputs!$D$3)</f>
        <v>37560</v>
      </c>
      <c r="H38" s="2">
        <f t="shared" si="5"/>
        <v>0</v>
      </c>
      <c r="I38" s="2">
        <f>Inputs!$B$10+Inputs!$B$11+Inputs!$B$12-F38</f>
        <v>214</v>
      </c>
    </row>
    <row r="39" spans="1:9" ht="15.75" customHeight="1">
      <c r="A39" s="2">
        <f t="shared" si="3"/>
        <v>38</v>
      </c>
      <c r="B39" s="2">
        <v>1431</v>
      </c>
      <c r="C39" s="2">
        <f>MIN(B39,Inputs!$B$10)</f>
        <v>788</v>
      </c>
      <c r="D39" s="2">
        <f>MIN(MAX(B39-C39,0),Inputs!$B$11)</f>
        <v>0</v>
      </c>
      <c r="E39" s="2">
        <f>MIN(MAX(B39-C39-D39,0),Inputs!$B$12)</f>
        <v>451</v>
      </c>
      <c r="F39" s="2">
        <f t="shared" si="4"/>
        <v>1239</v>
      </c>
      <c r="G39" s="2">
        <f>Inputs!$B$4*(C39+D39+E39)
-(Inputs!$B$10*Inputs!$B$2+Inputs!$B$11*Inputs!$C$2+Inputs!$B$12*Inputs!$D$2)
-(C39*Inputs!$B$3+D39*Inputs!$C$3+E39*Inputs!$D$3)</f>
        <v>45050</v>
      </c>
      <c r="H39" s="2">
        <f t="shared" si="5"/>
        <v>192</v>
      </c>
      <c r="I39" s="2">
        <f>Inputs!$B$10+Inputs!$B$11+Inputs!$B$12-F39</f>
        <v>0</v>
      </c>
    </row>
    <row r="40" spans="1:9" ht="15.75" customHeight="1">
      <c r="A40" s="2">
        <f t="shared" si="3"/>
        <v>39</v>
      </c>
      <c r="B40" s="2">
        <v>1309</v>
      </c>
      <c r="C40" s="2">
        <f>MIN(B40,Inputs!$B$10)</f>
        <v>788</v>
      </c>
      <c r="D40" s="2">
        <f>MIN(MAX(B40-C40,0),Inputs!$B$11)</f>
        <v>0</v>
      </c>
      <c r="E40" s="2">
        <f>MIN(MAX(B40-C40-D40,0),Inputs!$B$12)</f>
        <v>451</v>
      </c>
      <c r="F40" s="2">
        <f t="shared" si="4"/>
        <v>1239</v>
      </c>
      <c r="G40" s="2">
        <f>Inputs!$B$4*(C40+D40+E40)
-(Inputs!$B$10*Inputs!$B$2+Inputs!$B$11*Inputs!$C$2+Inputs!$B$12*Inputs!$D$2)
-(C40*Inputs!$B$3+D40*Inputs!$C$3+E40*Inputs!$D$3)</f>
        <v>45050</v>
      </c>
      <c r="H40" s="2">
        <f t="shared" si="5"/>
        <v>70</v>
      </c>
      <c r="I40" s="2">
        <f>Inputs!$B$10+Inputs!$B$11+Inputs!$B$12-F40</f>
        <v>0</v>
      </c>
    </row>
    <row r="41" spans="1:9" ht="15.75" customHeight="1">
      <c r="A41" s="2">
        <f t="shared" si="3"/>
        <v>40</v>
      </c>
      <c r="B41" s="2">
        <v>788</v>
      </c>
      <c r="C41" s="2">
        <f>MIN(B41,Inputs!$B$10)</f>
        <v>788</v>
      </c>
      <c r="D41" s="2">
        <f>MIN(MAX(B41-C41,0),Inputs!$B$11)</f>
        <v>0</v>
      </c>
      <c r="E41" s="2">
        <f>MIN(MAX(B41-C41-D41,0),Inputs!$B$12)</f>
        <v>0</v>
      </c>
      <c r="F41" s="2">
        <f t="shared" si="4"/>
        <v>788</v>
      </c>
      <c r="G41" s="2">
        <f>Inputs!$B$4*(C41+D41+E41)
-(Inputs!$B$10*Inputs!$B$2+Inputs!$B$11*Inputs!$C$2+Inputs!$B$12*Inputs!$D$2)
-(C41*Inputs!$B$3+D41*Inputs!$C$3+E41*Inputs!$D$3)</f>
        <v>29265</v>
      </c>
      <c r="H41" s="2">
        <f t="shared" si="5"/>
        <v>0</v>
      </c>
      <c r="I41" s="2">
        <f>Inputs!$B$10+Inputs!$B$11+Inputs!$B$12-F41</f>
        <v>451</v>
      </c>
    </row>
    <row r="42" spans="1:9" ht="15.75" customHeight="1">
      <c r="A42" s="2">
        <f t="shared" si="3"/>
        <v>41</v>
      </c>
      <c r="B42" s="2">
        <v>1291</v>
      </c>
      <c r="C42" s="2">
        <f>MIN(B42,Inputs!$B$10)</f>
        <v>788</v>
      </c>
      <c r="D42" s="2">
        <f>MIN(MAX(B42-C42,0),Inputs!$B$11)</f>
        <v>0</v>
      </c>
      <c r="E42" s="2">
        <f>MIN(MAX(B42-C42-D42,0),Inputs!$B$12)</f>
        <v>451</v>
      </c>
      <c r="F42" s="2">
        <f t="shared" si="4"/>
        <v>1239</v>
      </c>
      <c r="G42" s="2">
        <f>Inputs!$B$4*(C42+D42+E42)
-(Inputs!$B$10*Inputs!$B$2+Inputs!$B$11*Inputs!$C$2+Inputs!$B$12*Inputs!$D$2)
-(C42*Inputs!$B$3+D42*Inputs!$C$3+E42*Inputs!$D$3)</f>
        <v>45050</v>
      </c>
      <c r="H42" s="2">
        <f t="shared" si="5"/>
        <v>52</v>
      </c>
      <c r="I42" s="2">
        <f>Inputs!$B$10+Inputs!$B$11+Inputs!$B$12-F42</f>
        <v>0</v>
      </c>
    </row>
    <row r="43" spans="1:9" ht="15.75" customHeight="1">
      <c r="A43" s="2">
        <f t="shared" si="3"/>
        <v>42</v>
      </c>
      <c r="B43" s="2">
        <v>826</v>
      </c>
      <c r="C43" s="2">
        <f>MIN(B43,Inputs!$B$10)</f>
        <v>788</v>
      </c>
      <c r="D43" s="2">
        <f>MIN(MAX(B43-C43,0),Inputs!$B$11)</f>
        <v>0</v>
      </c>
      <c r="E43" s="2">
        <f>MIN(MAX(B43-C43-D43,0),Inputs!$B$12)</f>
        <v>38</v>
      </c>
      <c r="F43" s="2">
        <f t="shared" si="4"/>
        <v>826</v>
      </c>
      <c r="G43" s="2">
        <f>Inputs!$B$4*(C43+D43+E43)
-(Inputs!$B$10*Inputs!$B$2+Inputs!$B$11*Inputs!$C$2+Inputs!$B$12*Inputs!$D$2)
-(C43*Inputs!$B$3+D43*Inputs!$C$3+E43*Inputs!$D$3)</f>
        <v>30595</v>
      </c>
      <c r="H43" s="2">
        <f t="shared" si="5"/>
        <v>0</v>
      </c>
      <c r="I43" s="2">
        <f>Inputs!$B$10+Inputs!$B$11+Inputs!$B$12-F43</f>
        <v>413</v>
      </c>
    </row>
    <row r="44" spans="1:9" ht="15.75" customHeight="1">
      <c r="A44" s="2">
        <f t="shared" si="3"/>
        <v>43</v>
      </c>
      <c r="B44" s="2">
        <v>1046</v>
      </c>
      <c r="C44" s="2">
        <f>MIN(B44,Inputs!$B$10)</f>
        <v>788</v>
      </c>
      <c r="D44" s="2">
        <f>MIN(MAX(B44-C44,0),Inputs!$B$11)</f>
        <v>0</v>
      </c>
      <c r="E44" s="2">
        <f>MIN(MAX(B44-C44-D44,0),Inputs!$B$12)</f>
        <v>258</v>
      </c>
      <c r="F44" s="2">
        <f t="shared" si="4"/>
        <v>1046</v>
      </c>
      <c r="G44" s="2">
        <f>Inputs!$B$4*(C44+D44+E44)
-(Inputs!$B$10*Inputs!$B$2+Inputs!$B$11*Inputs!$C$2+Inputs!$B$12*Inputs!$D$2)
-(C44*Inputs!$B$3+D44*Inputs!$C$3+E44*Inputs!$D$3)</f>
        <v>38295</v>
      </c>
      <c r="H44" s="2">
        <f t="shared" si="5"/>
        <v>0</v>
      </c>
      <c r="I44" s="2">
        <f>Inputs!$B$10+Inputs!$B$11+Inputs!$B$12-F44</f>
        <v>193</v>
      </c>
    </row>
    <row r="45" spans="1:9" ht="15.75" customHeight="1">
      <c r="A45" s="2">
        <f t="shared" si="3"/>
        <v>44</v>
      </c>
      <c r="B45" s="2">
        <v>1094</v>
      </c>
      <c r="C45" s="2">
        <f>MIN(B45,Inputs!$B$10)</f>
        <v>788</v>
      </c>
      <c r="D45" s="2">
        <f>MIN(MAX(B45-C45,0),Inputs!$B$11)</f>
        <v>0</v>
      </c>
      <c r="E45" s="2">
        <f>MIN(MAX(B45-C45-D45,0),Inputs!$B$12)</f>
        <v>306</v>
      </c>
      <c r="F45" s="2">
        <f t="shared" si="4"/>
        <v>1094</v>
      </c>
      <c r="G45" s="2">
        <f>Inputs!$B$4*(C45+D45+E45)
-(Inputs!$B$10*Inputs!$B$2+Inputs!$B$11*Inputs!$C$2+Inputs!$B$12*Inputs!$D$2)
-(C45*Inputs!$B$3+D45*Inputs!$C$3+E45*Inputs!$D$3)</f>
        <v>39975</v>
      </c>
      <c r="H45" s="2">
        <f t="shared" si="5"/>
        <v>0</v>
      </c>
      <c r="I45" s="2">
        <f>Inputs!$B$10+Inputs!$B$11+Inputs!$B$12-F45</f>
        <v>145</v>
      </c>
    </row>
    <row r="46" spans="1:9" ht="15.75" customHeight="1">
      <c r="A46" s="2">
        <f t="shared" si="3"/>
        <v>45</v>
      </c>
      <c r="B46" s="2">
        <v>1119</v>
      </c>
      <c r="C46" s="2">
        <f>MIN(B46,Inputs!$B$10)</f>
        <v>788</v>
      </c>
      <c r="D46" s="2">
        <f>MIN(MAX(B46-C46,0),Inputs!$B$11)</f>
        <v>0</v>
      </c>
      <c r="E46" s="2">
        <f>MIN(MAX(B46-C46-D46,0),Inputs!$B$12)</f>
        <v>331</v>
      </c>
      <c r="F46" s="2">
        <f t="shared" si="4"/>
        <v>1119</v>
      </c>
      <c r="G46" s="2">
        <f>Inputs!$B$4*(C46+D46+E46)
-(Inputs!$B$10*Inputs!$B$2+Inputs!$B$11*Inputs!$C$2+Inputs!$B$12*Inputs!$D$2)
-(C46*Inputs!$B$3+D46*Inputs!$C$3+E46*Inputs!$D$3)</f>
        <v>40850</v>
      </c>
      <c r="H46" s="2">
        <f t="shared" si="5"/>
        <v>0</v>
      </c>
      <c r="I46" s="2">
        <f>Inputs!$B$10+Inputs!$B$11+Inputs!$B$12-F46</f>
        <v>120</v>
      </c>
    </row>
    <row r="47" spans="1:9" ht="15.75" customHeight="1">
      <c r="A47" s="2">
        <f t="shared" si="3"/>
        <v>46</v>
      </c>
      <c r="B47" s="2">
        <v>819</v>
      </c>
      <c r="C47" s="2">
        <f>MIN(B47,Inputs!$B$10)</f>
        <v>788</v>
      </c>
      <c r="D47" s="2">
        <f>MIN(MAX(B47-C47,0),Inputs!$B$11)</f>
        <v>0</v>
      </c>
      <c r="E47" s="2">
        <f>MIN(MAX(B47-C47-D47,0),Inputs!$B$12)</f>
        <v>31</v>
      </c>
      <c r="F47" s="2">
        <f t="shared" si="4"/>
        <v>819</v>
      </c>
      <c r="G47" s="2">
        <f>Inputs!$B$4*(C47+D47+E47)
-(Inputs!$B$10*Inputs!$B$2+Inputs!$B$11*Inputs!$C$2+Inputs!$B$12*Inputs!$D$2)
-(C47*Inputs!$B$3+D47*Inputs!$C$3+E47*Inputs!$D$3)</f>
        <v>30350</v>
      </c>
      <c r="H47" s="2">
        <f t="shared" si="5"/>
        <v>0</v>
      </c>
      <c r="I47" s="2">
        <f>Inputs!$B$10+Inputs!$B$11+Inputs!$B$12-F47</f>
        <v>420</v>
      </c>
    </row>
    <row r="48" spans="1:9" ht="15.75" customHeight="1">
      <c r="A48" s="2">
        <f t="shared" si="3"/>
        <v>47</v>
      </c>
      <c r="B48" s="2">
        <v>776</v>
      </c>
      <c r="C48" s="2">
        <f>MIN(B48,Inputs!$B$10)</f>
        <v>776</v>
      </c>
      <c r="D48" s="2">
        <f>MIN(MAX(B48-C48,0),Inputs!$B$11)</f>
        <v>0</v>
      </c>
      <c r="E48" s="2">
        <f>MIN(MAX(B48-C48-D48,0),Inputs!$B$12)</f>
        <v>0</v>
      </c>
      <c r="F48" s="2">
        <f t="shared" si="4"/>
        <v>776</v>
      </c>
      <c r="G48" s="2">
        <f>Inputs!$B$4*(C48+D48+E48)
-(Inputs!$B$10*Inputs!$B$2+Inputs!$B$11*Inputs!$C$2+Inputs!$B$12*Inputs!$D$2)
-(C48*Inputs!$B$3+D48*Inputs!$C$3+E48*Inputs!$D$3)</f>
        <v>28185</v>
      </c>
      <c r="H48" s="2">
        <f t="shared" si="5"/>
        <v>0</v>
      </c>
      <c r="I48" s="2">
        <f>Inputs!$B$10+Inputs!$B$11+Inputs!$B$12-F48</f>
        <v>463</v>
      </c>
    </row>
    <row r="49" spans="1:9" ht="15.75" customHeight="1">
      <c r="A49" s="2">
        <f t="shared" si="3"/>
        <v>48</v>
      </c>
      <c r="B49" s="2">
        <v>776</v>
      </c>
      <c r="C49" s="2">
        <f>MIN(B49,Inputs!$B$10)</f>
        <v>776</v>
      </c>
      <c r="D49" s="2">
        <f>MIN(MAX(B49-C49,0),Inputs!$B$11)</f>
        <v>0</v>
      </c>
      <c r="E49" s="2">
        <f>MIN(MAX(B49-C49-D49,0),Inputs!$B$12)</f>
        <v>0</v>
      </c>
      <c r="F49" s="2">
        <f t="shared" si="4"/>
        <v>776</v>
      </c>
      <c r="G49" s="2">
        <f>Inputs!$B$4*(C49+D49+E49)
-(Inputs!$B$10*Inputs!$B$2+Inputs!$B$11*Inputs!$C$2+Inputs!$B$12*Inputs!$D$2)
-(C49*Inputs!$B$3+D49*Inputs!$C$3+E49*Inputs!$D$3)</f>
        <v>28185</v>
      </c>
      <c r="H49" s="2">
        <f t="shared" si="5"/>
        <v>0</v>
      </c>
      <c r="I49" s="2">
        <f>Inputs!$B$10+Inputs!$B$11+Inputs!$B$12-F49</f>
        <v>463</v>
      </c>
    </row>
    <row r="50" spans="1:9" ht="15.75" customHeight="1">
      <c r="A50" s="2">
        <f t="shared" si="3"/>
        <v>49</v>
      </c>
      <c r="B50" s="2">
        <v>1069</v>
      </c>
      <c r="C50" s="2">
        <f>MIN(B50,Inputs!$B$10)</f>
        <v>788</v>
      </c>
      <c r="D50" s="2">
        <f>MIN(MAX(B50-C50,0),Inputs!$B$11)</f>
        <v>0</v>
      </c>
      <c r="E50" s="2">
        <f>MIN(MAX(B50-C50-D50,0),Inputs!$B$12)</f>
        <v>281</v>
      </c>
      <c r="F50" s="2">
        <f t="shared" si="4"/>
        <v>1069</v>
      </c>
      <c r="G50" s="2">
        <f>Inputs!$B$4*(C50+D50+E50)
-(Inputs!$B$10*Inputs!$B$2+Inputs!$B$11*Inputs!$C$2+Inputs!$B$12*Inputs!$D$2)
-(C50*Inputs!$B$3+D50*Inputs!$C$3+E50*Inputs!$D$3)</f>
        <v>39100</v>
      </c>
      <c r="H50" s="2">
        <f t="shared" si="5"/>
        <v>0</v>
      </c>
      <c r="I50" s="2">
        <f>Inputs!$B$10+Inputs!$B$11+Inputs!$B$12-F50</f>
        <v>170</v>
      </c>
    </row>
    <row r="51" spans="1:9" ht="15.75" customHeight="1">
      <c r="A51" s="2">
        <f t="shared" si="3"/>
        <v>50</v>
      </c>
      <c r="B51" s="2">
        <v>895</v>
      </c>
      <c r="C51" s="2">
        <f>MIN(B51,Inputs!$B$10)</f>
        <v>788</v>
      </c>
      <c r="D51" s="2">
        <f>MIN(MAX(B51-C51,0),Inputs!$B$11)</f>
        <v>0</v>
      </c>
      <c r="E51" s="2">
        <f>MIN(MAX(B51-C51-D51,0),Inputs!$B$12)</f>
        <v>107</v>
      </c>
      <c r="F51" s="2">
        <f t="shared" si="4"/>
        <v>895</v>
      </c>
      <c r="G51" s="2">
        <f>Inputs!$B$4*(C51+D51+E51)
-(Inputs!$B$10*Inputs!$B$2+Inputs!$B$11*Inputs!$C$2+Inputs!$B$12*Inputs!$D$2)
-(C51*Inputs!$B$3+D51*Inputs!$C$3+E51*Inputs!$D$3)</f>
        <v>33010</v>
      </c>
      <c r="H51" s="2">
        <f t="shared" si="5"/>
        <v>0</v>
      </c>
      <c r="I51" s="2">
        <f>Inputs!$B$10+Inputs!$B$11+Inputs!$B$12-F51</f>
        <v>344</v>
      </c>
    </row>
    <row r="52" spans="1:9" ht="15.75" customHeight="1">
      <c r="A52" s="2">
        <f t="shared" si="3"/>
        <v>51</v>
      </c>
      <c r="B52" s="2">
        <v>980</v>
      </c>
      <c r="C52" s="2">
        <f>MIN(B52,Inputs!$B$10)</f>
        <v>788</v>
      </c>
      <c r="D52" s="2">
        <f>MIN(MAX(B52-C52,0),Inputs!$B$11)</f>
        <v>0</v>
      </c>
      <c r="E52" s="2">
        <f>MIN(MAX(B52-C52-D52,0),Inputs!$B$12)</f>
        <v>192</v>
      </c>
      <c r="F52" s="2">
        <f t="shared" si="4"/>
        <v>980</v>
      </c>
      <c r="G52" s="2">
        <f>Inputs!$B$4*(C52+D52+E52)
-(Inputs!$B$10*Inputs!$B$2+Inputs!$B$11*Inputs!$C$2+Inputs!$B$12*Inputs!$D$2)
-(C52*Inputs!$B$3+D52*Inputs!$C$3+E52*Inputs!$D$3)</f>
        <v>35985</v>
      </c>
      <c r="H52" s="2">
        <f t="shared" si="5"/>
        <v>0</v>
      </c>
      <c r="I52" s="2">
        <f>Inputs!$B$10+Inputs!$B$11+Inputs!$B$12-F52</f>
        <v>259</v>
      </c>
    </row>
    <row r="53" spans="1:9" ht="15.75" customHeight="1">
      <c r="A53" s="2">
        <f t="shared" si="3"/>
        <v>52</v>
      </c>
      <c r="B53" s="2">
        <v>665</v>
      </c>
      <c r="C53" s="2">
        <f>MIN(B53,Inputs!$B$10)</f>
        <v>665</v>
      </c>
      <c r="D53" s="2">
        <f>MIN(MAX(B53-C53,0),Inputs!$B$11)</f>
        <v>0</v>
      </c>
      <c r="E53" s="2">
        <f>MIN(MAX(B53-C53-D53,0),Inputs!$B$12)</f>
        <v>0</v>
      </c>
      <c r="F53" s="2">
        <f t="shared" si="4"/>
        <v>665</v>
      </c>
      <c r="G53" s="2">
        <f>Inputs!$B$4*(C53+D53+E53)
-(Inputs!$B$10*Inputs!$B$2+Inputs!$B$11*Inputs!$C$2+Inputs!$B$12*Inputs!$D$2)
-(C53*Inputs!$B$3+D53*Inputs!$C$3+E53*Inputs!$D$3)</f>
        <v>18195</v>
      </c>
      <c r="H53" s="2">
        <f t="shared" si="5"/>
        <v>0</v>
      </c>
      <c r="I53" s="2">
        <f>Inputs!$B$10+Inputs!$B$11+Inputs!$B$12-F53</f>
        <v>574</v>
      </c>
    </row>
    <row r="54" spans="1:9" ht="15.75" customHeight="1">
      <c r="A54" s="2">
        <f t="shared" si="3"/>
        <v>53</v>
      </c>
      <c r="B54" s="2">
        <v>1174</v>
      </c>
      <c r="C54" s="2">
        <f>MIN(B54,Inputs!$B$10)</f>
        <v>788</v>
      </c>
      <c r="D54" s="2">
        <f>MIN(MAX(B54-C54,0),Inputs!$B$11)</f>
        <v>0</v>
      </c>
      <c r="E54" s="2">
        <f>MIN(MAX(B54-C54-D54,0),Inputs!$B$12)</f>
        <v>386</v>
      </c>
      <c r="F54" s="2">
        <f t="shared" si="4"/>
        <v>1174</v>
      </c>
      <c r="G54" s="2">
        <f>Inputs!$B$4*(C54+D54+E54)
-(Inputs!$B$10*Inputs!$B$2+Inputs!$B$11*Inputs!$C$2+Inputs!$B$12*Inputs!$D$2)
-(C54*Inputs!$B$3+D54*Inputs!$C$3+E54*Inputs!$D$3)</f>
        <v>42775</v>
      </c>
      <c r="H54" s="2">
        <f t="shared" si="5"/>
        <v>0</v>
      </c>
      <c r="I54" s="2">
        <f>Inputs!$B$10+Inputs!$B$11+Inputs!$B$12-F54</f>
        <v>65</v>
      </c>
    </row>
    <row r="55" spans="1:9" ht="15.75" customHeight="1">
      <c r="A55" s="2">
        <f t="shared" si="3"/>
        <v>54</v>
      </c>
      <c r="B55" s="2">
        <v>1076</v>
      </c>
      <c r="C55" s="2">
        <f>MIN(B55,Inputs!$B$10)</f>
        <v>788</v>
      </c>
      <c r="D55" s="2">
        <f>MIN(MAX(B55-C55,0),Inputs!$B$11)</f>
        <v>0</v>
      </c>
      <c r="E55" s="2">
        <f>MIN(MAX(B55-C55-D55,0),Inputs!$B$12)</f>
        <v>288</v>
      </c>
      <c r="F55" s="2">
        <f t="shared" si="4"/>
        <v>1076</v>
      </c>
      <c r="G55" s="2">
        <f>Inputs!$B$4*(C55+D55+E55)
-(Inputs!$B$10*Inputs!$B$2+Inputs!$B$11*Inputs!$C$2+Inputs!$B$12*Inputs!$D$2)
-(C55*Inputs!$B$3+D55*Inputs!$C$3+E55*Inputs!$D$3)</f>
        <v>39345</v>
      </c>
      <c r="H55" s="2">
        <f t="shared" si="5"/>
        <v>0</v>
      </c>
      <c r="I55" s="2">
        <f>Inputs!$B$10+Inputs!$B$11+Inputs!$B$12-F55</f>
        <v>163</v>
      </c>
    </row>
    <row r="56" spans="1:9" ht="15.75" customHeight="1">
      <c r="A56" s="2">
        <f t="shared" si="3"/>
        <v>55</v>
      </c>
      <c r="B56" s="2">
        <v>742</v>
      </c>
      <c r="C56" s="2">
        <f>MIN(B56,Inputs!$B$10)</f>
        <v>742</v>
      </c>
      <c r="D56" s="2">
        <f>MIN(MAX(B56-C56,0),Inputs!$B$11)</f>
        <v>0</v>
      </c>
      <c r="E56" s="2">
        <f>MIN(MAX(B56-C56-D56,0),Inputs!$B$12)</f>
        <v>0</v>
      </c>
      <c r="F56" s="2">
        <f t="shared" si="4"/>
        <v>742</v>
      </c>
      <c r="G56" s="2">
        <f>Inputs!$B$4*(C56+D56+E56)
-(Inputs!$B$10*Inputs!$B$2+Inputs!$B$11*Inputs!$C$2+Inputs!$B$12*Inputs!$D$2)
-(C56*Inputs!$B$3+D56*Inputs!$C$3+E56*Inputs!$D$3)</f>
        <v>25125</v>
      </c>
      <c r="H56" s="2">
        <f t="shared" si="5"/>
        <v>0</v>
      </c>
      <c r="I56" s="2">
        <f>Inputs!$B$10+Inputs!$B$11+Inputs!$B$12-F56</f>
        <v>497</v>
      </c>
    </row>
    <row r="57" spans="1:9" ht="15.75" customHeight="1">
      <c r="A57" s="2">
        <f t="shared" si="3"/>
        <v>56</v>
      </c>
      <c r="B57" s="2">
        <v>854</v>
      </c>
      <c r="C57" s="2">
        <f>MIN(B57,Inputs!$B$10)</f>
        <v>788</v>
      </c>
      <c r="D57" s="2">
        <f>MIN(MAX(B57-C57,0),Inputs!$B$11)</f>
        <v>0</v>
      </c>
      <c r="E57" s="2">
        <f>MIN(MAX(B57-C57-D57,0),Inputs!$B$12)</f>
        <v>66</v>
      </c>
      <c r="F57" s="2">
        <f t="shared" si="4"/>
        <v>854</v>
      </c>
      <c r="G57" s="2">
        <f>Inputs!$B$4*(C57+D57+E57)
-(Inputs!$B$10*Inputs!$B$2+Inputs!$B$11*Inputs!$C$2+Inputs!$B$12*Inputs!$D$2)
-(C57*Inputs!$B$3+D57*Inputs!$C$3+E57*Inputs!$D$3)</f>
        <v>31575</v>
      </c>
      <c r="H57" s="2">
        <f t="shared" si="5"/>
        <v>0</v>
      </c>
      <c r="I57" s="2">
        <f>Inputs!$B$10+Inputs!$B$11+Inputs!$B$12-F57</f>
        <v>385</v>
      </c>
    </row>
    <row r="58" spans="1:9" ht="15.75" customHeight="1">
      <c r="A58" s="2">
        <f t="shared" si="3"/>
        <v>57</v>
      </c>
      <c r="B58" s="2">
        <v>1120</v>
      </c>
      <c r="C58" s="2">
        <f>MIN(B58,Inputs!$B$10)</f>
        <v>788</v>
      </c>
      <c r="D58" s="2">
        <f>MIN(MAX(B58-C58,0),Inputs!$B$11)</f>
        <v>0</v>
      </c>
      <c r="E58" s="2">
        <f>MIN(MAX(B58-C58-D58,0),Inputs!$B$12)</f>
        <v>332</v>
      </c>
      <c r="F58" s="2">
        <f t="shared" si="4"/>
        <v>1120</v>
      </c>
      <c r="G58" s="2">
        <f>Inputs!$B$4*(C58+D58+E58)
-(Inputs!$B$10*Inputs!$B$2+Inputs!$B$11*Inputs!$C$2+Inputs!$B$12*Inputs!$D$2)
-(C58*Inputs!$B$3+D58*Inputs!$C$3+E58*Inputs!$D$3)</f>
        <v>40885</v>
      </c>
      <c r="H58" s="2">
        <f t="shared" si="5"/>
        <v>0</v>
      </c>
      <c r="I58" s="2">
        <f>Inputs!$B$10+Inputs!$B$11+Inputs!$B$12-F58</f>
        <v>119</v>
      </c>
    </row>
    <row r="59" spans="1:9" ht="15.75" customHeight="1">
      <c r="A59" s="2">
        <f t="shared" si="3"/>
        <v>58</v>
      </c>
      <c r="B59" s="2">
        <v>561</v>
      </c>
      <c r="C59" s="2">
        <f>MIN(B59,Inputs!$B$10)</f>
        <v>561</v>
      </c>
      <c r="D59" s="2">
        <f>MIN(MAX(B59-C59,0),Inputs!$B$11)</f>
        <v>0</v>
      </c>
      <c r="E59" s="2">
        <f>MIN(MAX(B59-C59-D59,0),Inputs!$B$12)</f>
        <v>0</v>
      </c>
      <c r="F59" s="2">
        <f t="shared" si="4"/>
        <v>561</v>
      </c>
      <c r="G59" s="2">
        <f>Inputs!$B$4*(C59+D59+E59)
-(Inputs!$B$10*Inputs!$B$2+Inputs!$B$11*Inputs!$C$2+Inputs!$B$12*Inputs!$D$2)
-(C59*Inputs!$B$3+D59*Inputs!$C$3+E59*Inputs!$D$3)</f>
        <v>8835</v>
      </c>
      <c r="H59" s="2">
        <f t="shared" si="5"/>
        <v>0</v>
      </c>
      <c r="I59" s="2">
        <f>Inputs!$B$10+Inputs!$B$11+Inputs!$B$12-F59</f>
        <v>678</v>
      </c>
    </row>
    <row r="60" spans="1:9" ht="15.75" customHeight="1">
      <c r="A60" s="2">
        <f t="shared" si="3"/>
        <v>59</v>
      </c>
      <c r="B60" s="2">
        <v>970</v>
      </c>
      <c r="C60" s="2">
        <f>MIN(B60,Inputs!$B$10)</f>
        <v>788</v>
      </c>
      <c r="D60" s="2">
        <f>MIN(MAX(B60-C60,0),Inputs!$B$11)</f>
        <v>0</v>
      </c>
      <c r="E60" s="2">
        <f>MIN(MAX(B60-C60-D60,0),Inputs!$B$12)</f>
        <v>182</v>
      </c>
      <c r="F60" s="2">
        <f t="shared" si="4"/>
        <v>970</v>
      </c>
      <c r="G60" s="2">
        <f>Inputs!$B$4*(C60+D60+E60)
-(Inputs!$B$10*Inputs!$B$2+Inputs!$B$11*Inputs!$C$2+Inputs!$B$12*Inputs!$D$2)
-(C60*Inputs!$B$3+D60*Inputs!$C$3+E60*Inputs!$D$3)</f>
        <v>35635</v>
      </c>
      <c r="H60" s="2">
        <f t="shared" si="5"/>
        <v>0</v>
      </c>
      <c r="I60" s="2">
        <f>Inputs!$B$10+Inputs!$B$11+Inputs!$B$12-F60</f>
        <v>269</v>
      </c>
    </row>
    <row r="61" spans="1:9" ht="15.75" customHeight="1">
      <c r="A61" s="2">
        <f t="shared" si="3"/>
        <v>60</v>
      </c>
      <c r="B61" s="2">
        <v>885</v>
      </c>
      <c r="C61" s="2">
        <f>MIN(B61,Inputs!$B$10)</f>
        <v>788</v>
      </c>
      <c r="D61" s="2">
        <f>MIN(MAX(B61-C61,0),Inputs!$B$11)</f>
        <v>0</v>
      </c>
      <c r="E61" s="2">
        <f>MIN(MAX(B61-C61-D61,0),Inputs!$B$12)</f>
        <v>97</v>
      </c>
      <c r="F61" s="2">
        <f t="shared" si="4"/>
        <v>885</v>
      </c>
      <c r="G61" s="2">
        <f>Inputs!$B$4*(C61+D61+E61)
-(Inputs!$B$10*Inputs!$B$2+Inputs!$B$11*Inputs!$C$2+Inputs!$B$12*Inputs!$D$2)
-(C61*Inputs!$B$3+D61*Inputs!$C$3+E61*Inputs!$D$3)</f>
        <v>32660</v>
      </c>
      <c r="H61" s="2">
        <f t="shared" si="5"/>
        <v>0</v>
      </c>
      <c r="I61" s="2">
        <f>Inputs!$B$10+Inputs!$B$11+Inputs!$B$12-F61</f>
        <v>354</v>
      </c>
    </row>
    <row r="62" spans="1:9" ht="15.75" customHeight="1">
      <c r="A62" s="2">
        <f t="shared" si="3"/>
        <v>61</v>
      </c>
      <c r="B62" s="2">
        <v>1115</v>
      </c>
      <c r="C62" s="2">
        <f>MIN(B62,Inputs!$B$10)</f>
        <v>788</v>
      </c>
      <c r="D62" s="2">
        <f>MIN(MAX(B62-C62,0),Inputs!$B$11)</f>
        <v>0</v>
      </c>
      <c r="E62" s="2">
        <f>MIN(MAX(B62-C62-D62,0),Inputs!$B$12)</f>
        <v>327</v>
      </c>
      <c r="F62" s="2">
        <f t="shared" si="4"/>
        <v>1115</v>
      </c>
      <c r="G62" s="2">
        <f>Inputs!$B$4*(C62+D62+E62)
-(Inputs!$B$10*Inputs!$B$2+Inputs!$B$11*Inputs!$C$2+Inputs!$B$12*Inputs!$D$2)
-(C62*Inputs!$B$3+D62*Inputs!$C$3+E62*Inputs!$D$3)</f>
        <v>40710</v>
      </c>
      <c r="H62" s="2">
        <f t="shared" si="5"/>
        <v>0</v>
      </c>
      <c r="I62" s="2">
        <f>Inputs!$B$10+Inputs!$B$11+Inputs!$B$12-F62</f>
        <v>124</v>
      </c>
    </row>
    <row r="63" spans="1:9" ht="15.75" customHeight="1">
      <c r="A63" s="2">
        <f t="shared" si="3"/>
        <v>62</v>
      </c>
      <c r="B63" s="2">
        <v>1419</v>
      </c>
      <c r="C63" s="2">
        <f>MIN(B63,Inputs!$B$10)</f>
        <v>788</v>
      </c>
      <c r="D63" s="2">
        <f>MIN(MAX(B63-C63,0),Inputs!$B$11)</f>
        <v>0</v>
      </c>
      <c r="E63" s="2">
        <f>MIN(MAX(B63-C63-D63,0),Inputs!$B$12)</f>
        <v>451</v>
      </c>
      <c r="F63" s="2">
        <f t="shared" si="4"/>
        <v>1239</v>
      </c>
      <c r="G63" s="2">
        <f>Inputs!$B$4*(C63+D63+E63)
-(Inputs!$B$10*Inputs!$B$2+Inputs!$B$11*Inputs!$C$2+Inputs!$B$12*Inputs!$D$2)
-(C63*Inputs!$B$3+D63*Inputs!$C$3+E63*Inputs!$D$3)</f>
        <v>45050</v>
      </c>
      <c r="H63" s="2">
        <f t="shared" si="5"/>
        <v>180</v>
      </c>
      <c r="I63" s="2">
        <f>Inputs!$B$10+Inputs!$B$11+Inputs!$B$12-F63</f>
        <v>0</v>
      </c>
    </row>
    <row r="64" spans="1:9" ht="15.75" customHeight="1">
      <c r="A64" s="2">
        <f t="shared" si="3"/>
        <v>63</v>
      </c>
      <c r="B64" s="2">
        <v>696</v>
      </c>
      <c r="C64" s="2">
        <f>MIN(B64,Inputs!$B$10)</f>
        <v>696</v>
      </c>
      <c r="D64" s="2">
        <f>MIN(MAX(B64-C64,0),Inputs!$B$11)</f>
        <v>0</v>
      </c>
      <c r="E64" s="2">
        <f>MIN(MAX(B64-C64-D64,0),Inputs!$B$12)</f>
        <v>0</v>
      </c>
      <c r="F64" s="2">
        <f t="shared" si="4"/>
        <v>696</v>
      </c>
      <c r="G64" s="2">
        <f>Inputs!$B$4*(C64+D64+E64)
-(Inputs!$B$10*Inputs!$B$2+Inputs!$B$11*Inputs!$C$2+Inputs!$B$12*Inputs!$D$2)
-(C64*Inputs!$B$3+D64*Inputs!$C$3+E64*Inputs!$D$3)</f>
        <v>20985</v>
      </c>
      <c r="H64" s="2">
        <f t="shared" si="5"/>
        <v>0</v>
      </c>
      <c r="I64" s="2">
        <f>Inputs!$B$10+Inputs!$B$11+Inputs!$B$12-F64</f>
        <v>543</v>
      </c>
    </row>
    <row r="65" spans="1:9" ht="15.75" customHeight="1">
      <c r="A65" s="2">
        <f t="shared" si="3"/>
        <v>64</v>
      </c>
      <c r="B65" s="2">
        <v>530</v>
      </c>
      <c r="C65" s="2">
        <f>MIN(B65,Inputs!$B$10)</f>
        <v>530</v>
      </c>
      <c r="D65" s="2">
        <f>MIN(MAX(B65-C65,0),Inputs!$B$11)</f>
        <v>0</v>
      </c>
      <c r="E65" s="2">
        <f>MIN(MAX(B65-C65-D65,0),Inputs!$B$12)</f>
        <v>0</v>
      </c>
      <c r="F65" s="2">
        <f t="shared" si="4"/>
        <v>530</v>
      </c>
      <c r="G65" s="2">
        <f>Inputs!$B$4*(C65+D65+E65)
-(Inputs!$B$10*Inputs!$B$2+Inputs!$B$11*Inputs!$C$2+Inputs!$B$12*Inputs!$D$2)
-(C65*Inputs!$B$3+D65*Inputs!$C$3+E65*Inputs!$D$3)</f>
        <v>6045</v>
      </c>
      <c r="H65" s="2">
        <f t="shared" si="5"/>
        <v>0</v>
      </c>
      <c r="I65" s="2">
        <f>Inputs!$B$10+Inputs!$B$11+Inputs!$B$12-F65</f>
        <v>709</v>
      </c>
    </row>
    <row r="66" spans="1:9" ht="15.75" customHeight="1">
      <c r="A66" s="2">
        <f t="shared" ref="A66:A101" si="6">ROW()-1</f>
        <v>65</v>
      </c>
      <c r="B66" s="2">
        <v>1115</v>
      </c>
      <c r="C66" s="2">
        <f>MIN(B66,Inputs!$B$10)</f>
        <v>788</v>
      </c>
      <c r="D66" s="2">
        <f>MIN(MAX(B66-C66,0),Inputs!$B$11)</f>
        <v>0</v>
      </c>
      <c r="E66" s="2">
        <f>MIN(MAX(B66-C66-D66,0),Inputs!$B$12)</f>
        <v>327</v>
      </c>
      <c r="F66" s="2">
        <f t="shared" ref="F66:F97" si="7">C66+D66+E66</f>
        <v>1115</v>
      </c>
      <c r="G66" s="2">
        <f>Inputs!$B$4*(C66+D66+E66)
-(Inputs!$B$10*Inputs!$B$2+Inputs!$B$11*Inputs!$C$2+Inputs!$B$12*Inputs!$D$2)
-(C66*Inputs!$B$3+D66*Inputs!$C$3+E66*Inputs!$D$3)</f>
        <v>40710</v>
      </c>
      <c r="H66" s="2">
        <f t="shared" ref="H66:H101" si="8">MAX(B66-F66,0)</f>
        <v>0</v>
      </c>
      <c r="I66" s="2">
        <f>Inputs!$B$10+Inputs!$B$11+Inputs!$B$12-F66</f>
        <v>124</v>
      </c>
    </row>
    <row r="67" spans="1:9" ht="15.75" customHeight="1">
      <c r="A67" s="2">
        <f t="shared" si="6"/>
        <v>66</v>
      </c>
      <c r="B67" s="2">
        <v>1023</v>
      </c>
      <c r="C67" s="2">
        <f>MIN(B67,Inputs!$B$10)</f>
        <v>788</v>
      </c>
      <c r="D67" s="2">
        <f>MIN(MAX(B67-C67,0),Inputs!$B$11)</f>
        <v>0</v>
      </c>
      <c r="E67" s="2">
        <f>MIN(MAX(B67-C67-D67,0),Inputs!$B$12)</f>
        <v>235</v>
      </c>
      <c r="F67" s="2">
        <f t="shared" si="7"/>
        <v>1023</v>
      </c>
      <c r="G67" s="2">
        <f>Inputs!$B$4*(C67+D67+E67)
-(Inputs!$B$10*Inputs!$B$2+Inputs!$B$11*Inputs!$C$2+Inputs!$B$12*Inputs!$D$2)
-(C67*Inputs!$B$3+D67*Inputs!$C$3+E67*Inputs!$D$3)</f>
        <v>37490</v>
      </c>
      <c r="H67" s="2">
        <f t="shared" si="8"/>
        <v>0</v>
      </c>
      <c r="I67" s="2">
        <f>Inputs!$B$10+Inputs!$B$11+Inputs!$B$12-F67</f>
        <v>216</v>
      </c>
    </row>
    <row r="68" spans="1:9" ht="15.75" customHeight="1">
      <c r="A68" s="2">
        <f t="shared" si="6"/>
        <v>67</v>
      </c>
      <c r="B68" s="2">
        <v>1264</v>
      </c>
      <c r="C68" s="2">
        <f>MIN(B68,Inputs!$B$10)</f>
        <v>788</v>
      </c>
      <c r="D68" s="2">
        <f>MIN(MAX(B68-C68,0),Inputs!$B$11)</f>
        <v>0</v>
      </c>
      <c r="E68" s="2">
        <f>MIN(MAX(B68-C68-D68,0),Inputs!$B$12)</f>
        <v>451</v>
      </c>
      <c r="F68" s="2">
        <f t="shared" si="7"/>
        <v>1239</v>
      </c>
      <c r="G68" s="2">
        <f>Inputs!$B$4*(C68+D68+E68)
-(Inputs!$B$10*Inputs!$B$2+Inputs!$B$11*Inputs!$C$2+Inputs!$B$12*Inputs!$D$2)
-(C68*Inputs!$B$3+D68*Inputs!$C$3+E68*Inputs!$D$3)</f>
        <v>45050</v>
      </c>
      <c r="H68" s="2">
        <f t="shared" si="8"/>
        <v>25</v>
      </c>
      <c r="I68" s="2">
        <f>Inputs!$B$10+Inputs!$B$11+Inputs!$B$12-F68</f>
        <v>0</v>
      </c>
    </row>
    <row r="69" spans="1:9" ht="15.75" customHeight="1">
      <c r="A69" s="2">
        <f t="shared" si="6"/>
        <v>68</v>
      </c>
      <c r="B69" s="2">
        <v>662</v>
      </c>
      <c r="C69" s="2">
        <f>MIN(B69,Inputs!$B$10)</f>
        <v>662</v>
      </c>
      <c r="D69" s="2">
        <f>MIN(MAX(B69-C69,0),Inputs!$B$11)</f>
        <v>0</v>
      </c>
      <c r="E69" s="2">
        <f>MIN(MAX(B69-C69-D69,0),Inputs!$B$12)</f>
        <v>0</v>
      </c>
      <c r="F69" s="2">
        <f t="shared" si="7"/>
        <v>662</v>
      </c>
      <c r="G69" s="2">
        <f>Inputs!$B$4*(C69+D69+E69)
-(Inputs!$B$10*Inputs!$B$2+Inputs!$B$11*Inputs!$C$2+Inputs!$B$12*Inputs!$D$2)
-(C69*Inputs!$B$3+D69*Inputs!$C$3+E69*Inputs!$D$3)</f>
        <v>17925</v>
      </c>
      <c r="H69" s="2">
        <f t="shared" si="8"/>
        <v>0</v>
      </c>
      <c r="I69" s="2">
        <f>Inputs!$B$10+Inputs!$B$11+Inputs!$B$12-F69</f>
        <v>577</v>
      </c>
    </row>
    <row r="70" spans="1:9" ht="15.75" customHeight="1">
      <c r="A70" s="2">
        <f t="shared" si="6"/>
        <v>69</v>
      </c>
      <c r="B70" s="2">
        <v>1555</v>
      </c>
      <c r="C70" s="2">
        <f>MIN(B70,Inputs!$B$10)</f>
        <v>788</v>
      </c>
      <c r="D70" s="2">
        <f>MIN(MAX(B70-C70,0),Inputs!$B$11)</f>
        <v>0</v>
      </c>
      <c r="E70" s="2">
        <f>MIN(MAX(B70-C70-D70,0),Inputs!$B$12)</f>
        <v>451</v>
      </c>
      <c r="F70" s="2">
        <f t="shared" si="7"/>
        <v>1239</v>
      </c>
      <c r="G70" s="2">
        <f>Inputs!$B$4*(C70+D70+E70)
-(Inputs!$B$10*Inputs!$B$2+Inputs!$B$11*Inputs!$C$2+Inputs!$B$12*Inputs!$D$2)
-(C70*Inputs!$B$3+D70*Inputs!$C$3+E70*Inputs!$D$3)</f>
        <v>45050</v>
      </c>
      <c r="H70" s="2">
        <f t="shared" si="8"/>
        <v>316</v>
      </c>
      <c r="I70" s="2">
        <f>Inputs!$B$10+Inputs!$B$11+Inputs!$B$12-F70</f>
        <v>0</v>
      </c>
    </row>
    <row r="71" spans="1:9" ht="15.75" customHeight="1">
      <c r="A71" s="2">
        <f t="shared" si="6"/>
        <v>70</v>
      </c>
      <c r="B71" s="2">
        <v>922</v>
      </c>
      <c r="C71" s="2">
        <f>MIN(B71,Inputs!$B$10)</f>
        <v>788</v>
      </c>
      <c r="D71" s="2">
        <f>MIN(MAX(B71-C71,0),Inputs!$B$11)</f>
        <v>0</v>
      </c>
      <c r="E71" s="2">
        <f>MIN(MAX(B71-C71-D71,0),Inputs!$B$12)</f>
        <v>134</v>
      </c>
      <c r="F71" s="2">
        <f t="shared" si="7"/>
        <v>922</v>
      </c>
      <c r="G71" s="2">
        <f>Inputs!$B$4*(C71+D71+E71)
-(Inputs!$B$10*Inputs!$B$2+Inputs!$B$11*Inputs!$C$2+Inputs!$B$12*Inputs!$D$2)
-(C71*Inputs!$B$3+D71*Inputs!$C$3+E71*Inputs!$D$3)</f>
        <v>33955</v>
      </c>
      <c r="H71" s="2">
        <f t="shared" si="8"/>
        <v>0</v>
      </c>
      <c r="I71" s="2">
        <f>Inputs!$B$10+Inputs!$B$11+Inputs!$B$12-F71</f>
        <v>317</v>
      </c>
    </row>
    <row r="72" spans="1:9" ht="15.75" customHeight="1">
      <c r="A72" s="2">
        <f t="shared" si="6"/>
        <v>71</v>
      </c>
      <c r="B72" s="2">
        <v>849</v>
      </c>
      <c r="C72" s="2">
        <f>MIN(B72,Inputs!$B$10)</f>
        <v>788</v>
      </c>
      <c r="D72" s="2">
        <f>MIN(MAX(B72-C72,0),Inputs!$B$11)</f>
        <v>0</v>
      </c>
      <c r="E72" s="2">
        <f>MIN(MAX(B72-C72-D72,0),Inputs!$B$12)</f>
        <v>61</v>
      </c>
      <c r="F72" s="2">
        <f t="shared" si="7"/>
        <v>849</v>
      </c>
      <c r="G72" s="2">
        <f>Inputs!$B$4*(C72+D72+E72)
-(Inputs!$B$10*Inputs!$B$2+Inputs!$B$11*Inputs!$C$2+Inputs!$B$12*Inputs!$D$2)
-(C72*Inputs!$B$3+D72*Inputs!$C$3+E72*Inputs!$D$3)</f>
        <v>31400</v>
      </c>
      <c r="H72" s="2">
        <f t="shared" si="8"/>
        <v>0</v>
      </c>
      <c r="I72" s="2">
        <f>Inputs!$B$10+Inputs!$B$11+Inputs!$B$12-F72</f>
        <v>390</v>
      </c>
    </row>
    <row r="73" spans="1:9" ht="15.75" customHeight="1">
      <c r="A73" s="2">
        <f t="shared" si="6"/>
        <v>72</v>
      </c>
      <c r="B73" s="2">
        <v>904</v>
      </c>
      <c r="C73" s="2">
        <f>MIN(B73,Inputs!$B$10)</f>
        <v>788</v>
      </c>
      <c r="D73" s="2">
        <f>MIN(MAX(B73-C73,0),Inputs!$B$11)</f>
        <v>0</v>
      </c>
      <c r="E73" s="2">
        <f>MIN(MAX(B73-C73-D73,0),Inputs!$B$12)</f>
        <v>116</v>
      </c>
      <c r="F73" s="2">
        <f t="shared" si="7"/>
        <v>904</v>
      </c>
      <c r="G73" s="2">
        <f>Inputs!$B$4*(C73+D73+E73)
-(Inputs!$B$10*Inputs!$B$2+Inputs!$B$11*Inputs!$C$2+Inputs!$B$12*Inputs!$D$2)
-(C73*Inputs!$B$3+D73*Inputs!$C$3+E73*Inputs!$D$3)</f>
        <v>33325</v>
      </c>
      <c r="H73" s="2">
        <f t="shared" si="8"/>
        <v>0</v>
      </c>
      <c r="I73" s="2">
        <f>Inputs!$B$10+Inputs!$B$11+Inputs!$B$12-F73</f>
        <v>335</v>
      </c>
    </row>
    <row r="74" spans="1:9" ht="15.75" customHeight="1">
      <c r="A74" s="2">
        <f t="shared" si="6"/>
        <v>73</v>
      </c>
      <c r="B74" s="2">
        <v>627</v>
      </c>
      <c r="C74" s="2">
        <f>MIN(B74,Inputs!$B$10)</f>
        <v>627</v>
      </c>
      <c r="D74" s="2">
        <f>MIN(MAX(B74-C74,0),Inputs!$B$11)</f>
        <v>0</v>
      </c>
      <c r="E74" s="2">
        <f>MIN(MAX(B74-C74-D74,0),Inputs!$B$12)</f>
        <v>0</v>
      </c>
      <c r="F74" s="2">
        <f t="shared" si="7"/>
        <v>627</v>
      </c>
      <c r="G74" s="2">
        <f>Inputs!$B$4*(C74+D74+E74)
-(Inputs!$B$10*Inputs!$B$2+Inputs!$B$11*Inputs!$C$2+Inputs!$B$12*Inputs!$D$2)
-(C74*Inputs!$B$3+D74*Inputs!$C$3+E74*Inputs!$D$3)</f>
        <v>14775</v>
      </c>
      <c r="H74" s="2">
        <f t="shared" si="8"/>
        <v>0</v>
      </c>
      <c r="I74" s="2">
        <f>Inputs!$B$10+Inputs!$B$11+Inputs!$B$12-F74</f>
        <v>612</v>
      </c>
    </row>
    <row r="75" spans="1:9" ht="15.75" customHeight="1">
      <c r="A75" s="2">
        <f t="shared" si="6"/>
        <v>74</v>
      </c>
      <c r="B75" s="2">
        <v>1083</v>
      </c>
      <c r="C75" s="2">
        <f>MIN(B75,Inputs!$B$10)</f>
        <v>788</v>
      </c>
      <c r="D75" s="2">
        <f>MIN(MAX(B75-C75,0),Inputs!$B$11)</f>
        <v>0</v>
      </c>
      <c r="E75" s="2">
        <f>MIN(MAX(B75-C75-D75,0),Inputs!$B$12)</f>
        <v>295</v>
      </c>
      <c r="F75" s="2">
        <f t="shared" si="7"/>
        <v>1083</v>
      </c>
      <c r="G75" s="2">
        <f>Inputs!$B$4*(C75+D75+E75)
-(Inputs!$B$10*Inputs!$B$2+Inputs!$B$11*Inputs!$C$2+Inputs!$B$12*Inputs!$D$2)
-(C75*Inputs!$B$3+D75*Inputs!$C$3+E75*Inputs!$D$3)</f>
        <v>39590</v>
      </c>
      <c r="H75" s="2">
        <f t="shared" si="8"/>
        <v>0</v>
      </c>
      <c r="I75" s="2">
        <f>Inputs!$B$10+Inputs!$B$11+Inputs!$B$12-F75</f>
        <v>156</v>
      </c>
    </row>
    <row r="76" spans="1:9" ht="15.75" customHeight="1">
      <c r="A76" s="2">
        <f t="shared" si="6"/>
        <v>75</v>
      </c>
      <c r="B76" s="2">
        <v>1131</v>
      </c>
      <c r="C76" s="2">
        <f>MIN(B76,Inputs!$B$10)</f>
        <v>788</v>
      </c>
      <c r="D76" s="2">
        <f>MIN(MAX(B76-C76,0),Inputs!$B$11)</f>
        <v>0</v>
      </c>
      <c r="E76" s="2">
        <f>MIN(MAX(B76-C76-D76,0),Inputs!$B$12)</f>
        <v>343</v>
      </c>
      <c r="F76" s="2">
        <f t="shared" si="7"/>
        <v>1131</v>
      </c>
      <c r="G76" s="2">
        <f>Inputs!$B$4*(C76+D76+E76)
-(Inputs!$B$10*Inputs!$B$2+Inputs!$B$11*Inputs!$C$2+Inputs!$B$12*Inputs!$D$2)
-(C76*Inputs!$B$3+D76*Inputs!$C$3+E76*Inputs!$D$3)</f>
        <v>41270</v>
      </c>
      <c r="H76" s="2">
        <f t="shared" si="8"/>
        <v>0</v>
      </c>
      <c r="I76" s="2">
        <f>Inputs!$B$10+Inputs!$B$11+Inputs!$B$12-F76</f>
        <v>108</v>
      </c>
    </row>
    <row r="77" spans="1:9" ht="15.75" customHeight="1">
      <c r="A77" s="2">
        <f t="shared" si="6"/>
        <v>76</v>
      </c>
      <c r="B77" s="2">
        <v>853</v>
      </c>
      <c r="C77" s="2">
        <f>MIN(B77,Inputs!$B$10)</f>
        <v>788</v>
      </c>
      <c r="D77" s="2">
        <f>MIN(MAX(B77-C77,0),Inputs!$B$11)</f>
        <v>0</v>
      </c>
      <c r="E77" s="2">
        <f>MIN(MAX(B77-C77-D77,0),Inputs!$B$12)</f>
        <v>65</v>
      </c>
      <c r="F77" s="2">
        <f t="shared" si="7"/>
        <v>853</v>
      </c>
      <c r="G77" s="2">
        <f>Inputs!$B$4*(C77+D77+E77)
-(Inputs!$B$10*Inputs!$B$2+Inputs!$B$11*Inputs!$C$2+Inputs!$B$12*Inputs!$D$2)
-(C77*Inputs!$B$3+D77*Inputs!$C$3+E77*Inputs!$D$3)</f>
        <v>31540</v>
      </c>
      <c r="H77" s="2">
        <f t="shared" si="8"/>
        <v>0</v>
      </c>
      <c r="I77" s="2">
        <f>Inputs!$B$10+Inputs!$B$11+Inputs!$B$12-F77</f>
        <v>386</v>
      </c>
    </row>
    <row r="78" spans="1:9" ht="15.75" customHeight="1">
      <c r="A78" s="2">
        <f t="shared" si="6"/>
        <v>77</v>
      </c>
      <c r="B78" s="2">
        <v>987</v>
      </c>
      <c r="C78" s="2">
        <f>MIN(B78,Inputs!$B$10)</f>
        <v>788</v>
      </c>
      <c r="D78" s="2">
        <f>MIN(MAX(B78-C78,0),Inputs!$B$11)</f>
        <v>0</v>
      </c>
      <c r="E78" s="2">
        <f>MIN(MAX(B78-C78-D78,0),Inputs!$B$12)</f>
        <v>199</v>
      </c>
      <c r="F78" s="2">
        <f t="shared" si="7"/>
        <v>987</v>
      </c>
      <c r="G78" s="2">
        <f>Inputs!$B$4*(C78+D78+E78)
-(Inputs!$B$10*Inputs!$B$2+Inputs!$B$11*Inputs!$C$2+Inputs!$B$12*Inputs!$D$2)
-(C78*Inputs!$B$3+D78*Inputs!$C$3+E78*Inputs!$D$3)</f>
        <v>36230</v>
      </c>
      <c r="H78" s="2">
        <f t="shared" si="8"/>
        <v>0</v>
      </c>
      <c r="I78" s="2">
        <f>Inputs!$B$10+Inputs!$B$11+Inputs!$B$12-F78</f>
        <v>252</v>
      </c>
    </row>
    <row r="79" spans="1:9" ht="15.75" customHeight="1">
      <c r="A79" s="2">
        <f t="shared" si="6"/>
        <v>78</v>
      </c>
      <c r="B79" s="2">
        <v>751</v>
      </c>
      <c r="C79" s="2">
        <f>MIN(B79,Inputs!$B$10)</f>
        <v>751</v>
      </c>
      <c r="D79" s="2">
        <f>MIN(MAX(B79-C79,0),Inputs!$B$11)</f>
        <v>0</v>
      </c>
      <c r="E79" s="2">
        <f>MIN(MAX(B79-C79-D79,0),Inputs!$B$12)</f>
        <v>0</v>
      </c>
      <c r="F79" s="2">
        <f t="shared" si="7"/>
        <v>751</v>
      </c>
      <c r="G79" s="2">
        <f>Inputs!$B$4*(C79+D79+E79)
-(Inputs!$B$10*Inputs!$B$2+Inputs!$B$11*Inputs!$C$2+Inputs!$B$12*Inputs!$D$2)
-(C79*Inputs!$B$3+D79*Inputs!$C$3+E79*Inputs!$D$3)</f>
        <v>25935</v>
      </c>
      <c r="H79" s="2">
        <f t="shared" si="8"/>
        <v>0</v>
      </c>
      <c r="I79" s="2">
        <f>Inputs!$B$10+Inputs!$B$11+Inputs!$B$12-F79</f>
        <v>488</v>
      </c>
    </row>
    <row r="80" spans="1:9" ht="15.75" customHeight="1">
      <c r="A80" s="2">
        <f t="shared" si="6"/>
        <v>79</v>
      </c>
      <c r="B80" s="2">
        <v>1325</v>
      </c>
      <c r="C80" s="2">
        <f>MIN(B80,Inputs!$B$10)</f>
        <v>788</v>
      </c>
      <c r="D80" s="2">
        <f>MIN(MAX(B80-C80,0),Inputs!$B$11)</f>
        <v>0</v>
      </c>
      <c r="E80" s="2">
        <f>MIN(MAX(B80-C80-D80,0),Inputs!$B$12)</f>
        <v>451</v>
      </c>
      <c r="F80" s="2">
        <f t="shared" si="7"/>
        <v>1239</v>
      </c>
      <c r="G80" s="2">
        <f>Inputs!$B$4*(C80+D80+E80)
-(Inputs!$B$10*Inputs!$B$2+Inputs!$B$11*Inputs!$C$2+Inputs!$B$12*Inputs!$D$2)
-(C80*Inputs!$B$3+D80*Inputs!$C$3+E80*Inputs!$D$3)</f>
        <v>45050</v>
      </c>
      <c r="H80" s="2">
        <f t="shared" si="8"/>
        <v>86</v>
      </c>
      <c r="I80" s="2">
        <f>Inputs!$B$10+Inputs!$B$11+Inputs!$B$12-F80</f>
        <v>0</v>
      </c>
    </row>
    <row r="81" spans="1:9" ht="15.75" customHeight="1">
      <c r="A81" s="2">
        <f t="shared" si="6"/>
        <v>80</v>
      </c>
      <c r="B81" s="2">
        <v>1464</v>
      </c>
      <c r="C81" s="2">
        <f>MIN(B81,Inputs!$B$10)</f>
        <v>788</v>
      </c>
      <c r="D81" s="2">
        <f>MIN(MAX(B81-C81,0),Inputs!$B$11)</f>
        <v>0</v>
      </c>
      <c r="E81" s="2">
        <f>MIN(MAX(B81-C81-D81,0),Inputs!$B$12)</f>
        <v>451</v>
      </c>
      <c r="F81" s="2">
        <f t="shared" si="7"/>
        <v>1239</v>
      </c>
      <c r="G81" s="2">
        <f>Inputs!$B$4*(C81+D81+E81)
-(Inputs!$B$10*Inputs!$B$2+Inputs!$B$11*Inputs!$C$2+Inputs!$B$12*Inputs!$D$2)
-(C81*Inputs!$B$3+D81*Inputs!$C$3+E81*Inputs!$D$3)</f>
        <v>45050</v>
      </c>
      <c r="H81" s="2">
        <f t="shared" si="8"/>
        <v>225</v>
      </c>
      <c r="I81" s="2">
        <f>Inputs!$B$10+Inputs!$B$11+Inputs!$B$12-F81</f>
        <v>0</v>
      </c>
    </row>
    <row r="82" spans="1:9" ht="15.75" customHeight="1">
      <c r="A82" s="2">
        <f t="shared" si="6"/>
        <v>81</v>
      </c>
      <c r="B82" s="2">
        <v>1204</v>
      </c>
      <c r="C82" s="2">
        <f>MIN(B82,Inputs!$B$10)</f>
        <v>788</v>
      </c>
      <c r="D82" s="2">
        <f>MIN(MAX(B82-C82,0),Inputs!$B$11)</f>
        <v>0</v>
      </c>
      <c r="E82" s="2">
        <f>MIN(MAX(B82-C82-D82,0),Inputs!$B$12)</f>
        <v>416</v>
      </c>
      <c r="F82" s="2">
        <f t="shared" si="7"/>
        <v>1204</v>
      </c>
      <c r="G82" s="2">
        <f>Inputs!$B$4*(C82+D82+E82)
-(Inputs!$B$10*Inputs!$B$2+Inputs!$B$11*Inputs!$C$2+Inputs!$B$12*Inputs!$D$2)
-(C82*Inputs!$B$3+D82*Inputs!$C$3+E82*Inputs!$D$3)</f>
        <v>43825</v>
      </c>
      <c r="H82" s="2">
        <f t="shared" si="8"/>
        <v>0</v>
      </c>
      <c r="I82" s="2">
        <f>Inputs!$B$10+Inputs!$B$11+Inputs!$B$12-F82</f>
        <v>35</v>
      </c>
    </row>
    <row r="83" spans="1:9" ht="15.75" customHeight="1">
      <c r="A83" s="2">
        <f t="shared" si="6"/>
        <v>82</v>
      </c>
      <c r="B83" s="2">
        <v>883</v>
      </c>
      <c r="C83" s="2">
        <f>MIN(B83,Inputs!$B$10)</f>
        <v>788</v>
      </c>
      <c r="D83" s="2">
        <f>MIN(MAX(B83-C83,0),Inputs!$B$11)</f>
        <v>0</v>
      </c>
      <c r="E83" s="2">
        <f>MIN(MAX(B83-C83-D83,0),Inputs!$B$12)</f>
        <v>95</v>
      </c>
      <c r="F83" s="2">
        <f t="shared" si="7"/>
        <v>883</v>
      </c>
      <c r="G83" s="2">
        <f>Inputs!$B$4*(C83+D83+E83)
-(Inputs!$B$10*Inputs!$B$2+Inputs!$B$11*Inputs!$C$2+Inputs!$B$12*Inputs!$D$2)
-(C83*Inputs!$B$3+D83*Inputs!$C$3+E83*Inputs!$D$3)</f>
        <v>32590</v>
      </c>
      <c r="H83" s="2">
        <f t="shared" si="8"/>
        <v>0</v>
      </c>
      <c r="I83" s="2">
        <f>Inputs!$B$10+Inputs!$B$11+Inputs!$B$12-F83</f>
        <v>356</v>
      </c>
    </row>
    <row r="84" spans="1:9" ht="15.75" customHeight="1">
      <c r="A84" s="2">
        <f t="shared" si="6"/>
        <v>83</v>
      </c>
      <c r="B84" s="2">
        <v>873</v>
      </c>
      <c r="C84" s="2">
        <f>MIN(B84,Inputs!$B$10)</f>
        <v>788</v>
      </c>
      <c r="D84" s="2">
        <f>MIN(MAX(B84-C84,0),Inputs!$B$11)</f>
        <v>0</v>
      </c>
      <c r="E84" s="2">
        <f>MIN(MAX(B84-C84-D84,0),Inputs!$B$12)</f>
        <v>85</v>
      </c>
      <c r="F84" s="2">
        <f t="shared" si="7"/>
        <v>873</v>
      </c>
      <c r="G84" s="2">
        <f>Inputs!$B$4*(C84+D84+E84)
-(Inputs!$B$10*Inputs!$B$2+Inputs!$B$11*Inputs!$C$2+Inputs!$B$12*Inputs!$D$2)
-(C84*Inputs!$B$3+D84*Inputs!$C$3+E84*Inputs!$D$3)</f>
        <v>32240</v>
      </c>
      <c r="H84" s="2">
        <f t="shared" si="8"/>
        <v>0</v>
      </c>
      <c r="I84" s="2">
        <f>Inputs!$B$10+Inputs!$B$11+Inputs!$B$12-F84</f>
        <v>366</v>
      </c>
    </row>
    <row r="85" spans="1:9" ht="15.75" customHeight="1">
      <c r="A85" s="2">
        <f t="shared" si="6"/>
        <v>84</v>
      </c>
      <c r="B85" s="2">
        <v>902</v>
      </c>
      <c r="C85" s="2">
        <f>MIN(B85,Inputs!$B$10)</f>
        <v>788</v>
      </c>
      <c r="D85" s="2">
        <f>MIN(MAX(B85-C85,0),Inputs!$B$11)</f>
        <v>0</v>
      </c>
      <c r="E85" s="2">
        <f>MIN(MAX(B85-C85-D85,0),Inputs!$B$12)</f>
        <v>114</v>
      </c>
      <c r="F85" s="2">
        <f t="shared" si="7"/>
        <v>902</v>
      </c>
      <c r="G85" s="2">
        <f>Inputs!$B$4*(C85+D85+E85)
-(Inputs!$B$10*Inputs!$B$2+Inputs!$B$11*Inputs!$C$2+Inputs!$B$12*Inputs!$D$2)
-(C85*Inputs!$B$3+D85*Inputs!$C$3+E85*Inputs!$D$3)</f>
        <v>33255</v>
      </c>
      <c r="H85" s="2">
        <f t="shared" si="8"/>
        <v>0</v>
      </c>
      <c r="I85" s="2">
        <f>Inputs!$B$10+Inputs!$B$11+Inputs!$B$12-F85</f>
        <v>337</v>
      </c>
    </row>
    <row r="86" spans="1:9" ht="15.75" customHeight="1">
      <c r="A86" s="2">
        <f t="shared" si="6"/>
        <v>85</v>
      </c>
      <c r="B86" s="2">
        <v>968</v>
      </c>
      <c r="C86" s="2">
        <f>MIN(B86,Inputs!$B$10)</f>
        <v>788</v>
      </c>
      <c r="D86" s="2">
        <f>MIN(MAX(B86-C86,0),Inputs!$B$11)</f>
        <v>0</v>
      </c>
      <c r="E86" s="2">
        <f>MIN(MAX(B86-C86-D86,0),Inputs!$B$12)</f>
        <v>180</v>
      </c>
      <c r="F86" s="2">
        <f t="shared" si="7"/>
        <v>968</v>
      </c>
      <c r="G86" s="2">
        <f>Inputs!$B$4*(C86+D86+E86)
-(Inputs!$B$10*Inputs!$B$2+Inputs!$B$11*Inputs!$C$2+Inputs!$B$12*Inputs!$D$2)
-(C86*Inputs!$B$3+D86*Inputs!$C$3+E86*Inputs!$D$3)</f>
        <v>35565</v>
      </c>
      <c r="H86" s="2">
        <f t="shared" si="8"/>
        <v>0</v>
      </c>
      <c r="I86" s="2">
        <f>Inputs!$B$10+Inputs!$B$11+Inputs!$B$12-F86</f>
        <v>271</v>
      </c>
    </row>
    <row r="87" spans="1:9" ht="15.75" customHeight="1">
      <c r="A87" s="2">
        <f t="shared" si="6"/>
        <v>86</v>
      </c>
      <c r="B87" s="2">
        <v>990</v>
      </c>
      <c r="C87" s="2">
        <f>MIN(B87,Inputs!$B$10)</f>
        <v>788</v>
      </c>
      <c r="D87" s="2">
        <f>MIN(MAX(B87-C87,0),Inputs!$B$11)</f>
        <v>0</v>
      </c>
      <c r="E87" s="2">
        <f>MIN(MAX(B87-C87-D87,0),Inputs!$B$12)</f>
        <v>202</v>
      </c>
      <c r="F87" s="2">
        <f t="shared" si="7"/>
        <v>990</v>
      </c>
      <c r="G87" s="2">
        <f>Inputs!$B$4*(C87+D87+E87)
-(Inputs!$B$10*Inputs!$B$2+Inputs!$B$11*Inputs!$C$2+Inputs!$B$12*Inputs!$D$2)
-(C87*Inputs!$B$3+D87*Inputs!$C$3+E87*Inputs!$D$3)</f>
        <v>36335</v>
      </c>
      <c r="H87" s="2">
        <f t="shared" si="8"/>
        <v>0</v>
      </c>
      <c r="I87" s="2">
        <f>Inputs!$B$10+Inputs!$B$11+Inputs!$B$12-F87</f>
        <v>249</v>
      </c>
    </row>
    <row r="88" spans="1:9" ht="15.75" customHeight="1">
      <c r="A88" s="2">
        <f t="shared" si="6"/>
        <v>87</v>
      </c>
      <c r="B88" s="2">
        <v>1184</v>
      </c>
      <c r="C88" s="2">
        <f>MIN(B88,Inputs!$B$10)</f>
        <v>788</v>
      </c>
      <c r="D88" s="2">
        <f>MIN(MAX(B88-C88,0),Inputs!$B$11)</f>
        <v>0</v>
      </c>
      <c r="E88" s="2">
        <f>MIN(MAX(B88-C88-D88,0),Inputs!$B$12)</f>
        <v>396</v>
      </c>
      <c r="F88" s="2">
        <f t="shared" si="7"/>
        <v>1184</v>
      </c>
      <c r="G88" s="2">
        <f>Inputs!$B$4*(C88+D88+E88)
-(Inputs!$B$10*Inputs!$B$2+Inputs!$B$11*Inputs!$C$2+Inputs!$B$12*Inputs!$D$2)
-(C88*Inputs!$B$3+D88*Inputs!$C$3+E88*Inputs!$D$3)</f>
        <v>43125</v>
      </c>
      <c r="H88" s="2">
        <f t="shared" si="8"/>
        <v>0</v>
      </c>
      <c r="I88" s="2">
        <f>Inputs!$B$10+Inputs!$B$11+Inputs!$B$12-F88</f>
        <v>55</v>
      </c>
    </row>
    <row r="89" spans="1:9" ht="15.75" customHeight="1">
      <c r="A89" s="2">
        <f t="shared" si="6"/>
        <v>88</v>
      </c>
      <c r="B89" s="2">
        <v>1250</v>
      </c>
      <c r="C89" s="2">
        <f>MIN(B89,Inputs!$B$10)</f>
        <v>788</v>
      </c>
      <c r="D89" s="2">
        <f>MIN(MAX(B89-C89,0),Inputs!$B$11)</f>
        <v>0</v>
      </c>
      <c r="E89" s="2">
        <f>MIN(MAX(B89-C89-D89,0),Inputs!$B$12)</f>
        <v>451</v>
      </c>
      <c r="F89" s="2">
        <f t="shared" si="7"/>
        <v>1239</v>
      </c>
      <c r="G89" s="2">
        <f>Inputs!$B$4*(C89+D89+E89)
-(Inputs!$B$10*Inputs!$B$2+Inputs!$B$11*Inputs!$C$2+Inputs!$B$12*Inputs!$D$2)
-(C89*Inputs!$B$3+D89*Inputs!$C$3+E89*Inputs!$D$3)</f>
        <v>45050</v>
      </c>
      <c r="H89" s="2">
        <f t="shared" si="8"/>
        <v>11</v>
      </c>
      <c r="I89" s="2">
        <f>Inputs!$B$10+Inputs!$B$11+Inputs!$B$12-F89</f>
        <v>0</v>
      </c>
    </row>
    <row r="90" spans="1:9" ht="15.75" customHeight="1">
      <c r="A90" s="2">
        <f t="shared" si="6"/>
        <v>89</v>
      </c>
      <c r="B90" s="2">
        <v>461</v>
      </c>
      <c r="C90" s="2">
        <f>MIN(B90,Inputs!$B$10)</f>
        <v>461</v>
      </c>
      <c r="D90" s="2">
        <f>MIN(MAX(B90-C90,0),Inputs!$B$11)</f>
        <v>0</v>
      </c>
      <c r="E90" s="2">
        <f>MIN(MAX(B90-C90-D90,0),Inputs!$B$12)</f>
        <v>0</v>
      </c>
      <c r="F90" s="2">
        <f t="shared" si="7"/>
        <v>461</v>
      </c>
      <c r="G90" s="2">
        <f>Inputs!$B$4*(C90+D90+E90)
-(Inputs!$B$10*Inputs!$B$2+Inputs!$B$11*Inputs!$C$2+Inputs!$B$12*Inputs!$D$2)
-(C90*Inputs!$B$3+D90*Inputs!$C$3+E90*Inputs!$D$3)</f>
        <v>-165</v>
      </c>
      <c r="H90" s="2">
        <f t="shared" si="8"/>
        <v>0</v>
      </c>
      <c r="I90" s="2">
        <f>Inputs!$B$10+Inputs!$B$11+Inputs!$B$12-F90</f>
        <v>778</v>
      </c>
    </row>
    <row r="91" spans="1:9" ht="15.75" customHeight="1">
      <c r="A91" s="2">
        <f t="shared" si="6"/>
        <v>90</v>
      </c>
      <c r="B91" s="2">
        <v>928</v>
      </c>
      <c r="C91" s="2">
        <f>MIN(B91,Inputs!$B$10)</f>
        <v>788</v>
      </c>
      <c r="D91" s="2">
        <f>MIN(MAX(B91-C91,0),Inputs!$B$11)</f>
        <v>0</v>
      </c>
      <c r="E91" s="2">
        <f>MIN(MAX(B91-C91-D91,0),Inputs!$B$12)</f>
        <v>140</v>
      </c>
      <c r="F91" s="2">
        <f t="shared" si="7"/>
        <v>928</v>
      </c>
      <c r="G91" s="2">
        <f>Inputs!$B$4*(C91+D91+E91)
-(Inputs!$B$10*Inputs!$B$2+Inputs!$B$11*Inputs!$C$2+Inputs!$B$12*Inputs!$D$2)
-(C91*Inputs!$B$3+D91*Inputs!$C$3+E91*Inputs!$D$3)</f>
        <v>34165</v>
      </c>
      <c r="H91" s="2">
        <f t="shared" si="8"/>
        <v>0</v>
      </c>
      <c r="I91" s="2">
        <f>Inputs!$B$10+Inputs!$B$11+Inputs!$B$12-F91</f>
        <v>311</v>
      </c>
    </row>
    <row r="92" spans="1:9" ht="15.75" customHeight="1">
      <c r="A92" s="2">
        <f t="shared" si="6"/>
        <v>91</v>
      </c>
      <c r="B92" s="2">
        <v>1027</v>
      </c>
      <c r="C92" s="2">
        <f>MIN(B92,Inputs!$B$10)</f>
        <v>788</v>
      </c>
      <c r="D92" s="2">
        <f>MIN(MAX(B92-C92,0),Inputs!$B$11)</f>
        <v>0</v>
      </c>
      <c r="E92" s="2">
        <f>MIN(MAX(B92-C92-D92,0),Inputs!$B$12)</f>
        <v>239</v>
      </c>
      <c r="F92" s="2">
        <f t="shared" si="7"/>
        <v>1027</v>
      </c>
      <c r="G92" s="2">
        <f>Inputs!$B$4*(C92+D92+E92)
-(Inputs!$B$10*Inputs!$B$2+Inputs!$B$11*Inputs!$C$2+Inputs!$B$12*Inputs!$D$2)
-(C92*Inputs!$B$3+D92*Inputs!$C$3+E92*Inputs!$D$3)</f>
        <v>37630</v>
      </c>
      <c r="H92" s="2">
        <f t="shared" si="8"/>
        <v>0</v>
      </c>
      <c r="I92" s="2">
        <f>Inputs!$B$10+Inputs!$B$11+Inputs!$B$12-F92</f>
        <v>212</v>
      </c>
    </row>
    <row r="93" spans="1:9" ht="15.75" customHeight="1">
      <c r="A93" s="2">
        <f t="shared" si="6"/>
        <v>92</v>
      </c>
      <c r="B93" s="2">
        <v>954</v>
      </c>
      <c r="C93" s="2">
        <f>MIN(B93,Inputs!$B$10)</f>
        <v>788</v>
      </c>
      <c r="D93" s="2">
        <f>MIN(MAX(B93-C93,0),Inputs!$B$11)</f>
        <v>0</v>
      </c>
      <c r="E93" s="2">
        <f>MIN(MAX(B93-C93-D93,0),Inputs!$B$12)</f>
        <v>166</v>
      </c>
      <c r="F93" s="2">
        <f t="shared" si="7"/>
        <v>954</v>
      </c>
      <c r="G93" s="2">
        <f>Inputs!$B$4*(C93+D93+E93)
-(Inputs!$B$10*Inputs!$B$2+Inputs!$B$11*Inputs!$C$2+Inputs!$B$12*Inputs!$D$2)
-(C93*Inputs!$B$3+D93*Inputs!$C$3+E93*Inputs!$D$3)</f>
        <v>35075</v>
      </c>
      <c r="H93" s="2">
        <f t="shared" si="8"/>
        <v>0</v>
      </c>
      <c r="I93" s="2">
        <f>Inputs!$B$10+Inputs!$B$11+Inputs!$B$12-F93</f>
        <v>285</v>
      </c>
    </row>
    <row r="94" spans="1:9" ht="15.75" customHeight="1">
      <c r="A94" s="2">
        <f t="shared" si="6"/>
        <v>93</v>
      </c>
      <c r="B94" s="2">
        <v>779</v>
      </c>
      <c r="C94" s="2">
        <f>MIN(B94,Inputs!$B$10)</f>
        <v>779</v>
      </c>
      <c r="D94" s="2">
        <f>MIN(MAX(B94-C94,0),Inputs!$B$11)</f>
        <v>0</v>
      </c>
      <c r="E94" s="2">
        <f>MIN(MAX(B94-C94-D94,0),Inputs!$B$12)</f>
        <v>0</v>
      </c>
      <c r="F94" s="2">
        <f t="shared" si="7"/>
        <v>779</v>
      </c>
      <c r="G94" s="2">
        <f>Inputs!$B$4*(C94+D94+E94)
-(Inputs!$B$10*Inputs!$B$2+Inputs!$B$11*Inputs!$C$2+Inputs!$B$12*Inputs!$D$2)
-(C94*Inputs!$B$3+D94*Inputs!$C$3+E94*Inputs!$D$3)</f>
        <v>28455</v>
      </c>
      <c r="H94" s="2">
        <f t="shared" si="8"/>
        <v>0</v>
      </c>
      <c r="I94" s="2">
        <f>Inputs!$B$10+Inputs!$B$11+Inputs!$B$12-F94</f>
        <v>460</v>
      </c>
    </row>
    <row r="95" spans="1:9" ht="15.75" customHeight="1">
      <c r="A95" s="2">
        <f t="shared" si="6"/>
        <v>94</v>
      </c>
      <c r="B95" s="2">
        <v>1289</v>
      </c>
      <c r="C95" s="2">
        <f>MIN(B95,Inputs!$B$10)</f>
        <v>788</v>
      </c>
      <c r="D95" s="2">
        <f>MIN(MAX(B95-C95,0),Inputs!$B$11)</f>
        <v>0</v>
      </c>
      <c r="E95" s="2">
        <f>MIN(MAX(B95-C95-D95,0),Inputs!$B$12)</f>
        <v>451</v>
      </c>
      <c r="F95" s="2">
        <f t="shared" si="7"/>
        <v>1239</v>
      </c>
      <c r="G95" s="2">
        <f>Inputs!$B$4*(C95+D95+E95)
-(Inputs!$B$10*Inputs!$B$2+Inputs!$B$11*Inputs!$C$2+Inputs!$B$12*Inputs!$D$2)
-(C95*Inputs!$B$3+D95*Inputs!$C$3+E95*Inputs!$D$3)</f>
        <v>45050</v>
      </c>
      <c r="H95" s="2">
        <f t="shared" si="8"/>
        <v>50</v>
      </c>
      <c r="I95" s="2">
        <f>Inputs!$B$10+Inputs!$B$11+Inputs!$B$12-F95</f>
        <v>0</v>
      </c>
    </row>
    <row r="96" spans="1:9" ht="15.75" customHeight="1">
      <c r="A96" s="2">
        <f t="shared" si="6"/>
        <v>95</v>
      </c>
      <c r="B96" s="2">
        <v>1154</v>
      </c>
      <c r="C96" s="2">
        <f>MIN(B96,Inputs!$B$10)</f>
        <v>788</v>
      </c>
      <c r="D96" s="2">
        <f>MIN(MAX(B96-C96,0),Inputs!$B$11)</f>
        <v>0</v>
      </c>
      <c r="E96" s="2">
        <f>MIN(MAX(B96-C96-D96,0),Inputs!$B$12)</f>
        <v>366</v>
      </c>
      <c r="F96" s="2">
        <f t="shared" si="7"/>
        <v>1154</v>
      </c>
      <c r="G96" s="2">
        <f>Inputs!$B$4*(C96+D96+E96)
-(Inputs!$B$10*Inputs!$B$2+Inputs!$B$11*Inputs!$C$2+Inputs!$B$12*Inputs!$D$2)
-(C96*Inputs!$B$3+D96*Inputs!$C$3+E96*Inputs!$D$3)</f>
        <v>42075</v>
      </c>
      <c r="H96" s="2">
        <f t="shared" si="8"/>
        <v>0</v>
      </c>
      <c r="I96" s="2">
        <f>Inputs!$B$10+Inputs!$B$11+Inputs!$B$12-F96</f>
        <v>85</v>
      </c>
    </row>
    <row r="97" spans="1:9" ht="15.75" customHeight="1">
      <c r="A97" s="2">
        <f t="shared" si="6"/>
        <v>96</v>
      </c>
      <c r="B97" s="2">
        <v>573</v>
      </c>
      <c r="C97" s="2">
        <f>MIN(B97,Inputs!$B$10)</f>
        <v>573</v>
      </c>
      <c r="D97" s="2">
        <f>MIN(MAX(B97-C97,0),Inputs!$B$11)</f>
        <v>0</v>
      </c>
      <c r="E97" s="2">
        <f>MIN(MAX(B97-C97-D97,0),Inputs!$B$12)</f>
        <v>0</v>
      </c>
      <c r="F97" s="2">
        <f t="shared" si="7"/>
        <v>573</v>
      </c>
      <c r="G97" s="2">
        <f>Inputs!$B$4*(C97+D97+E97)
-(Inputs!$B$10*Inputs!$B$2+Inputs!$B$11*Inputs!$C$2+Inputs!$B$12*Inputs!$D$2)
-(C97*Inputs!$B$3+D97*Inputs!$C$3+E97*Inputs!$D$3)</f>
        <v>9915</v>
      </c>
      <c r="H97" s="2">
        <f t="shared" si="8"/>
        <v>0</v>
      </c>
      <c r="I97" s="2">
        <f>Inputs!$B$10+Inputs!$B$11+Inputs!$B$12-F97</f>
        <v>666</v>
      </c>
    </row>
    <row r="98" spans="1:9" ht="15.75" customHeight="1">
      <c r="A98" s="2">
        <f t="shared" si="6"/>
        <v>97</v>
      </c>
      <c r="B98" s="2">
        <v>1524</v>
      </c>
      <c r="C98" s="2">
        <f>MIN(B98,Inputs!$B$10)</f>
        <v>788</v>
      </c>
      <c r="D98" s="2">
        <f>MIN(MAX(B98-C98,0),Inputs!$B$11)</f>
        <v>0</v>
      </c>
      <c r="E98" s="2">
        <f>MIN(MAX(B98-C98-D98,0),Inputs!$B$12)</f>
        <v>451</v>
      </c>
      <c r="F98" s="2">
        <f t="shared" ref="F98:F101" si="9">C98+D98+E98</f>
        <v>1239</v>
      </c>
      <c r="G98" s="2">
        <f>Inputs!$B$4*(C98+D98+E98)
-(Inputs!$B$10*Inputs!$B$2+Inputs!$B$11*Inputs!$C$2+Inputs!$B$12*Inputs!$D$2)
-(C98*Inputs!$B$3+D98*Inputs!$C$3+E98*Inputs!$D$3)</f>
        <v>45050</v>
      </c>
      <c r="H98" s="2">
        <f t="shared" si="8"/>
        <v>285</v>
      </c>
      <c r="I98" s="2">
        <f>Inputs!$B$10+Inputs!$B$11+Inputs!$B$12-F98</f>
        <v>0</v>
      </c>
    </row>
    <row r="99" spans="1:9" ht="15.75" customHeight="1">
      <c r="A99" s="2">
        <f t="shared" si="6"/>
        <v>98</v>
      </c>
      <c r="B99" s="2">
        <v>1223</v>
      </c>
      <c r="C99" s="2">
        <f>MIN(B99,Inputs!$B$10)</f>
        <v>788</v>
      </c>
      <c r="D99" s="2">
        <f>MIN(MAX(B99-C99,0),Inputs!$B$11)</f>
        <v>0</v>
      </c>
      <c r="E99" s="2">
        <f>MIN(MAX(B99-C99-D99,0),Inputs!$B$12)</f>
        <v>435</v>
      </c>
      <c r="F99" s="2">
        <f t="shared" si="9"/>
        <v>1223</v>
      </c>
      <c r="G99" s="2">
        <f>Inputs!$B$4*(C99+D99+E99)
-(Inputs!$B$10*Inputs!$B$2+Inputs!$B$11*Inputs!$C$2+Inputs!$B$12*Inputs!$D$2)
-(C99*Inputs!$B$3+D99*Inputs!$C$3+E99*Inputs!$D$3)</f>
        <v>44490</v>
      </c>
      <c r="H99" s="2">
        <f t="shared" si="8"/>
        <v>0</v>
      </c>
      <c r="I99" s="2">
        <f>Inputs!$B$10+Inputs!$B$11+Inputs!$B$12-F99</f>
        <v>16</v>
      </c>
    </row>
    <row r="100" spans="1:9" ht="15.75" customHeight="1">
      <c r="A100" s="2">
        <f t="shared" si="6"/>
        <v>99</v>
      </c>
      <c r="B100" s="2">
        <v>1118</v>
      </c>
      <c r="C100" s="2">
        <f>MIN(B100,Inputs!$B$10)</f>
        <v>788</v>
      </c>
      <c r="D100" s="2">
        <f>MIN(MAX(B100-C100,0),Inputs!$B$11)</f>
        <v>0</v>
      </c>
      <c r="E100" s="2">
        <f>MIN(MAX(B100-C100-D100,0),Inputs!$B$12)</f>
        <v>330</v>
      </c>
      <c r="F100" s="2">
        <f t="shared" si="9"/>
        <v>1118</v>
      </c>
      <c r="G100" s="2">
        <f>Inputs!$B$4*(C100+D100+E100)
-(Inputs!$B$10*Inputs!$B$2+Inputs!$B$11*Inputs!$C$2+Inputs!$B$12*Inputs!$D$2)
-(C100*Inputs!$B$3+D100*Inputs!$C$3+E100*Inputs!$D$3)</f>
        <v>40815</v>
      </c>
      <c r="H100" s="2">
        <f t="shared" si="8"/>
        <v>0</v>
      </c>
      <c r="I100" s="2">
        <f>Inputs!$B$10+Inputs!$B$11+Inputs!$B$12-F100</f>
        <v>121</v>
      </c>
    </row>
    <row r="101" spans="1:9" ht="15.75" customHeight="1">
      <c r="A101" s="2">
        <f t="shared" si="6"/>
        <v>100</v>
      </c>
      <c r="B101" s="2">
        <v>1152</v>
      </c>
      <c r="C101" s="2">
        <f>MIN(B101,Inputs!$B$10)</f>
        <v>788</v>
      </c>
      <c r="D101" s="2">
        <f>MIN(MAX(B101-C101,0),Inputs!$B$11)</f>
        <v>0</v>
      </c>
      <c r="E101" s="2">
        <f>MIN(MAX(B101-C101-D101,0),Inputs!$B$12)</f>
        <v>364</v>
      </c>
      <c r="F101" s="2">
        <f t="shared" si="9"/>
        <v>1152</v>
      </c>
      <c r="G101" s="2">
        <f>Inputs!$B$4*(C101+D101+E101)
-(Inputs!$B$10*Inputs!$B$2+Inputs!$B$11*Inputs!$C$2+Inputs!$B$12*Inputs!$D$2)
-(C101*Inputs!$B$3+D101*Inputs!$C$3+E101*Inputs!$D$3)</f>
        <v>42005</v>
      </c>
      <c r="H101" s="2">
        <f t="shared" si="8"/>
        <v>0</v>
      </c>
      <c r="I101" s="2">
        <f>Inputs!$B$10+Inputs!$B$11+Inputs!$B$12-F101</f>
        <v>87</v>
      </c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selection activeCell="H14" sqref="H14"/>
    </sheetView>
  </sheetViews>
  <sheetFormatPr baseColWidth="10" defaultColWidth="10.6640625" defaultRowHeight="16"/>
  <cols>
    <col min="1" max="1" width="15.83203125" style="1" customWidth="1"/>
    <col min="2" max="2" width="9.83203125" style="1" customWidth="1"/>
    <col min="3" max="3" width="12.83203125" style="1" customWidth="1"/>
    <col min="4" max="4" width="9.1640625" style="1" customWidth="1"/>
    <col min="5" max="5" width="12.33203125" bestFit="1" customWidth="1"/>
    <col min="6" max="6" width="11.83203125" style="1" customWidth="1"/>
    <col min="7" max="7" width="13.1640625" style="1" customWidth="1"/>
  </cols>
  <sheetData>
    <row r="1" spans="1:7" ht="15.75" customHeight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ht="15.75" customHeight="1">
      <c r="A2" s="2" t="s">
        <v>33</v>
      </c>
      <c r="B2" s="2">
        <v>1000</v>
      </c>
      <c r="C2" s="2">
        <v>0</v>
      </c>
      <c r="D2" s="2">
        <v>0</v>
      </c>
      <c r="E2" s="2">
        <f t="array" ref="E2">_xlfn.LET(
_xlpm.d,Simulation!$B$2:$B$101,
_xlpm.h,IF(_xlpm.d&lt;B2,_xlpm.d,B2),
_xlpm.m,IF(_xlpm.d-_xlpm.h&lt;C2,IF(_xlpm.d-_xlpm.h&gt;0,_xlpm.d-_xlpm.h,0),C2),
_xlpm.l,IF(_xlpm.d-_xlpm.h-_xlpm.m&lt;D2,IF(_xlpm.d-_xlpm.h-_xlpm.m&gt;0,_xlpm.d-_xlpm.h-_xlpm.m,0),D2),
_xlpm.sold,_xlpm.h+_xlpm.m+_xlpm.l,
_xlpm.profit,
Inputs!$B$4*_xlpm.sold
-(B2*Inputs!$B$2+C2*Inputs!$C$2+D2*Inputs!$D$2)
-(_xlpm.h*Inputs!$B$3+_xlpm.m*Inputs!$C$3+_xlpm.l*Inputs!$D$3),
AVERAGE(_xlpm.profit)
)</f>
        <v>31168.3</v>
      </c>
      <c r="F2" s="2">
        <f t="array" ref="F2">_xlfn.LET(
_xlpm.d,Simulation!$B$2:$B$101,
_xlpm.h,IF(_xlpm.d&lt;B2,_xlpm.d,B2),
_xlpm.m,IF(_xlpm.d-_xlpm.h&lt;C2,IF(_xlpm.d-_xlpm.h&gt;0,_xlpm.d-_xlpm.h,0),C2),
_xlpm.l,IF(_xlpm.d-_xlpm.h-_xlpm.m&lt;D2,IF(_xlpm.d-_xlpm.h-_xlpm.m&gt;0,_xlpm.d-_xlpm.h-_xlpm.m,0),D2),
_xlpm.sold,_xlpm.h+_xlpm.m+_xlpm.l,
AVERAGE(IF(_xlpm.d-_xlpm.sold&gt;0,_xlpm.d-_xlpm.sold,0))
)</f>
        <v>88.01</v>
      </c>
      <c r="G2" s="2">
        <f t="array" ref="G2">_xlfn.LET(
_xlpm.d,Simulation!$B$2:$B$101,
_xlpm.h,IF(_xlpm.d&lt;B2,_xlpm.d,B2),
_xlpm.m,IF(_xlpm.d-_xlpm.h&lt;C2,IF(_xlpm.d-_xlpm.h&gt;0,_xlpm.d-_xlpm.h,0),C2),
_xlpm.l,IF(_xlpm.d-_xlpm.h-_xlpm.m&lt;D2,IF(_xlpm.d-_xlpm.h-_xlpm.m&gt;0,_xlpm.d-_xlpm.h-_xlpm.m,0),D2),
_xlpm.sold,_xlpm.h+_xlpm.m+_xlpm.l,
AVERAGE(B2+C2+D2-_xlpm.sold)
)</f>
        <v>98.13</v>
      </c>
    </row>
    <row r="3" spans="1:7" ht="15.75" customHeight="1">
      <c r="A3" s="2" t="s">
        <v>34</v>
      </c>
      <c r="B3" s="2">
        <v>0</v>
      </c>
      <c r="C3" s="2">
        <v>1000</v>
      </c>
      <c r="D3" s="2">
        <v>0</v>
      </c>
      <c r="E3" s="2">
        <f t="array" ref="E3">_xlfn.LET(
_xlpm.d,Simulation!$B$2:$B$101,
_xlpm.h,IF(_xlpm.d&lt;B3,_xlpm.d,B3),
_xlpm.m,IF(_xlpm.d-_xlpm.h&lt;C3,IF(_xlpm.d-_xlpm.h&gt;0,_xlpm.d-_xlpm.h,0),C3),
_xlpm.l,IF(_xlpm.d-_xlpm.h-_xlpm.m&lt;D3,IF(_xlpm.d-_xlpm.h-_xlpm.m&gt;0,_xlpm.d-_xlpm.h-_xlpm.m,0),D3),
_xlpm.sold,_xlpm.h+_xlpm.m+_xlpm.l,
_xlpm.profit,
Inputs!$B$4*_xlpm.sold
-(B3*Inputs!$B$2+C3*Inputs!$C$2+D3*Inputs!$D$2)
-(_xlpm.h*Inputs!$B$3+_xlpm.m*Inputs!$C$3+_xlpm.l*Inputs!$D$3),
AVERAGE(_xlpm.profit)
)</f>
        <v>28130.9</v>
      </c>
      <c r="F3" s="2">
        <f t="array" ref="F3">_xlfn.LET(
_xlpm.d,Simulation!$B$2:$B$101,
_xlpm.h,IF(_xlpm.d&lt;B3,_xlpm.d,B3),
_xlpm.m,IF(_xlpm.d-_xlpm.h&lt;C3,IF(_xlpm.d-_xlpm.h&gt;0,_xlpm.d-_xlpm.h,0),C3),
_xlpm.l,IF(_xlpm.d-_xlpm.h-_xlpm.m&lt;D3,IF(_xlpm.d-_xlpm.h-_xlpm.m&gt;0,_xlpm.d-_xlpm.h-_xlpm.m,0),D3),
_xlpm.sold,_xlpm.h+_xlpm.m+_xlpm.l,
AVERAGE(IF(_xlpm.d-_xlpm.sold&gt;0,_xlpm.d-_xlpm.sold,0))
)</f>
        <v>88.01</v>
      </c>
      <c r="G3" s="2">
        <f t="array" ref="G3">_xlfn.LET(
_xlpm.d,Simulation!$B$2:$B$101,
_xlpm.h,IF(_xlpm.d&lt;B3,_xlpm.d,B3),
_xlpm.m,IF(_xlpm.d-_xlpm.h&lt;C3,IF(_xlpm.d-_xlpm.h&gt;0,_xlpm.d-_xlpm.h,0),C3),
_xlpm.l,IF(_xlpm.d-_xlpm.h-_xlpm.m&lt;D3,IF(_xlpm.d-_xlpm.h-_xlpm.m&gt;0,_xlpm.d-_xlpm.h-_xlpm.m,0),D3),
_xlpm.sold,_xlpm.h+_xlpm.m+_xlpm.l,
AVERAGE(B3+C3+D3-_xlpm.sold)
)</f>
        <v>98.13</v>
      </c>
    </row>
    <row r="4" spans="1:7" ht="15.75" customHeight="1">
      <c r="A4" s="2" t="s">
        <v>35</v>
      </c>
      <c r="B4" s="2">
        <v>0</v>
      </c>
      <c r="C4" s="2">
        <v>0</v>
      </c>
      <c r="D4" s="2">
        <v>1000</v>
      </c>
      <c r="E4" s="2">
        <f t="array" ref="E4">_xlfn.LET(
_xlpm.d,Simulation!$B$2:$B$101,
_xlpm.h,IF(_xlpm.d&lt;B4,_xlpm.d,B4),
_xlpm.m,IF(_xlpm.d-_xlpm.h&lt;C4,IF(_xlpm.d-_xlpm.h&gt;0,_xlpm.d-_xlpm.h,0),C4),
_xlpm.l,IF(_xlpm.d-_xlpm.h-_xlpm.m&lt;D4,IF(_xlpm.d-_xlpm.h-_xlpm.m&gt;0,_xlpm.d-_xlpm.h-_xlpm.m,0),D4),
_xlpm.sold,_xlpm.h+_xlpm.m+_xlpm.l,
_xlpm.profit,
Inputs!$B$4*_xlpm.sold
-(B4*Inputs!$B$2+C4*Inputs!$C$2+D4*Inputs!$D$2)
-(_xlpm.h*Inputs!$B$3+_xlpm.m*Inputs!$C$3+_xlpm.l*Inputs!$D$3),
AVERAGE(_xlpm.profit)
)</f>
        <v>26565.45</v>
      </c>
      <c r="F4" s="2">
        <f t="array" ref="F4">_xlfn.LET(
_xlpm.d,Simulation!$B$2:$B$101,
_xlpm.h,IF(_xlpm.d&lt;B4,_xlpm.d,B4),
_xlpm.m,IF(_xlpm.d-_xlpm.h&lt;C4,IF(_xlpm.d-_xlpm.h&gt;0,_xlpm.d-_xlpm.h,0),C4),
_xlpm.l,IF(_xlpm.d-_xlpm.h-_xlpm.m&lt;D4,IF(_xlpm.d-_xlpm.h-_xlpm.m&gt;0,_xlpm.d-_xlpm.h-_xlpm.m,0),D4),
_xlpm.sold,_xlpm.h+_xlpm.m+_xlpm.l,
AVERAGE(IF(_xlpm.d-_xlpm.sold&gt;0,_xlpm.d-_xlpm.sold,0))
)</f>
        <v>88.01</v>
      </c>
      <c r="G4" s="2">
        <f t="array" ref="G4">_xlfn.LET(
_xlpm.d,Simulation!$B$2:$B$101,
_xlpm.h,IF(_xlpm.d&lt;B4,_xlpm.d,B4),
_xlpm.m,IF(_xlpm.d-_xlpm.h&lt;C4,IF(_xlpm.d-_xlpm.h&gt;0,_xlpm.d-_xlpm.h,0),C4),
_xlpm.l,IF(_xlpm.d-_xlpm.h-_xlpm.m&lt;D4,IF(_xlpm.d-_xlpm.h-_xlpm.m&gt;0,_xlpm.d-_xlpm.h-_xlpm.m,0),D4),
_xlpm.sold,_xlpm.h+_xlpm.m+_xlpm.l,
AVERAGE(B4+C4+D4-_xlpm.sold)
)</f>
        <v>98.13</v>
      </c>
    </row>
    <row r="5" spans="1:7" ht="15.75" customHeight="1">
      <c r="A5" s="2" t="s">
        <v>36</v>
      </c>
      <c r="B5" s="2">
        <v>965</v>
      </c>
      <c r="C5" s="2">
        <v>0</v>
      </c>
      <c r="D5" s="2">
        <v>0</v>
      </c>
      <c r="E5" s="2">
        <f t="array" ref="E5">_xlfn.LET(
_xlpm.d,Simulation!$B$2:$B$101,
_xlpm.h,IF(_xlpm.d&lt;B5,_xlpm.d,B5),
_xlpm.m,IF(_xlpm.d-_xlpm.h&lt;C5,IF(_xlpm.d-_xlpm.h&gt;0,_xlpm.d-_xlpm.h,0),C5),
_xlpm.l,IF(_xlpm.d-_xlpm.h-_xlpm.m&lt;D5,IF(_xlpm.d-_xlpm.h-_xlpm.m&gt;0,_xlpm.d-_xlpm.h-_xlpm.m,0),D5),
_xlpm.sold,_xlpm.h+_xlpm.m+_xlpm.l,
_xlpm.profit,
Inputs!$B$4*_xlpm.sold
-(B5*Inputs!$B$2+C5*Inputs!$C$2+D5*Inputs!$D$2)
-(_xlpm.h*Inputs!$B$3+_xlpm.m*Inputs!$C$3+_xlpm.l*Inputs!$D$3),
AVERAGE(_xlpm.profit)
)</f>
        <v>31252.400000000001</v>
      </c>
      <c r="F5" s="2">
        <f t="array" ref="F5">_xlfn.LET(
_xlpm.d,Simulation!$B$2:$B$101,
_xlpm.h,IF(_xlpm.d&lt;B5,_xlpm.d,B5),
_xlpm.m,IF(_xlpm.d-_xlpm.h&lt;C5,IF(_xlpm.d-_xlpm.h&gt;0,_xlpm.d-_xlpm.h,0),C5),
_xlpm.l,IF(_xlpm.d-_xlpm.h-_xlpm.m&lt;D5,IF(_xlpm.d-_xlpm.h-_xlpm.m&gt;0,_xlpm.d-_xlpm.h-_xlpm.m,0),D5),
_xlpm.sold,_xlpm.h+_xlpm.m+_xlpm.l,
AVERAGE(IF(_xlpm.d-_xlpm.sold&gt;0,_xlpm.d-_xlpm.sold,0))
)</f>
        <v>106.52</v>
      </c>
      <c r="G5" s="2">
        <f t="array" ref="G5">_xlfn.LET(
_xlpm.d,Simulation!$B$2:$B$101,
_xlpm.h,IF(_xlpm.d&lt;B5,_xlpm.d,B5),
_xlpm.m,IF(_xlpm.d-_xlpm.h&lt;C5,IF(_xlpm.d-_xlpm.h&gt;0,_xlpm.d-_xlpm.h,0),C5),
_xlpm.l,IF(_xlpm.d-_xlpm.h-_xlpm.m&lt;D5,IF(_xlpm.d-_xlpm.h-_xlpm.m&gt;0,_xlpm.d-_xlpm.h-_xlpm.m,0),D5),
_xlpm.sold,_xlpm.h+_xlpm.m+_xlpm.l,
AVERAGE(B5+C5+D5-_xlpm.sold)
)</f>
        <v>81.64</v>
      </c>
    </row>
    <row r="6" spans="1:7" ht="15.75" customHeight="1">
      <c r="A6" s="2" t="s">
        <v>37</v>
      </c>
      <c r="B6" s="2">
        <v>0</v>
      </c>
      <c r="C6" s="2">
        <v>1000</v>
      </c>
      <c r="D6" s="2">
        <v>0</v>
      </c>
      <c r="E6" s="2">
        <f t="array" ref="E6">_xlfn.LET(
_xlpm.d,Simulation!$B$2:$B$101,
_xlpm.h,IF(_xlpm.d&lt;B6,_xlpm.d,B6),
_xlpm.m,IF(_xlpm.d-_xlpm.h&lt;C6,IF(_xlpm.d-_xlpm.h&gt;0,_xlpm.d-_xlpm.h,0),C6),
_xlpm.l,IF(_xlpm.d-_xlpm.h-_xlpm.m&lt;D6,IF(_xlpm.d-_xlpm.h-_xlpm.m&gt;0,_xlpm.d-_xlpm.h-_xlpm.m,0),D6),
_xlpm.sold,_xlpm.h+_xlpm.m+_xlpm.l,
_xlpm.profit,
Inputs!$B$4*_xlpm.sold
-(B6*Inputs!$B$2+C6*Inputs!$C$2+D6*Inputs!$D$2)
-(_xlpm.h*Inputs!$B$3+_xlpm.m*Inputs!$C$3+_xlpm.l*Inputs!$D$3),
AVERAGE(_xlpm.profit)
)</f>
        <v>28130.9</v>
      </c>
      <c r="F6" s="2">
        <f t="array" ref="F6">_xlfn.LET(
_xlpm.d,Simulation!$B$2:$B$101,
_xlpm.h,IF(_xlpm.d&lt;B6,_xlpm.d,B6),
_xlpm.m,IF(_xlpm.d-_xlpm.h&lt;C6,IF(_xlpm.d-_xlpm.h&gt;0,_xlpm.d-_xlpm.h,0),C6),
_xlpm.l,IF(_xlpm.d-_xlpm.h-_xlpm.m&lt;D6,IF(_xlpm.d-_xlpm.h-_xlpm.m&gt;0,_xlpm.d-_xlpm.h-_xlpm.m,0),D6),
_xlpm.sold,_xlpm.h+_xlpm.m+_xlpm.l,
AVERAGE(IF(_xlpm.d-_xlpm.sold&gt;0,_xlpm.d-_xlpm.sold,0))
)</f>
        <v>88.01</v>
      </c>
      <c r="G6" s="2">
        <f t="array" ref="G6">_xlfn.LET(
_xlpm.d,Simulation!$B$2:$B$101,
_xlpm.h,IF(_xlpm.d&lt;B6,_xlpm.d,B6),
_xlpm.m,IF(_xlpm.d-_xlpm.h&lt;C6,IF(_xlpm.d-_xlpm.h&gt;0,_xlpm.d-_xlpm.h,0),C6),
_xlpm.l,IF(_xlpm.d-_xlpm.h-_xlpm.m&lt;D6,IF(_xlpm.d-_xlpm.h-_xlpm.m&gt;0,_xlpm.d-_xlpm.h-_xlpm.m,0),D6),
_xlpm.sold,_xlpm.h+_xlpm.m+_xlpm.l,
AVERAGE(B6+C6+D6-_xlpm.sold)
)</f>
        <v>98.13</v>
      </c>
    </row>
    <row r="7" spans="1:7" ht="15.75" customHeight="1">
      <c r="A7" s="2" t="s">
        <v>38</v>
      </c>
      <c r="B7" s="2">
        <v>0</v>
      </c>
      <c r="C7" s="2">
        <v>0</v>
      </c>
      <c r="D7" s="2">
        <v>1267</v>
      </c>
      <c r="E7" s="2">
        <f t="array" ref="E7">_xlfn.LET(
_xlpm.d,Simulation!$B$2:$B$101,
_xlpm.h,IF(_xlpm.d&lt;B7,_xlpm.d,B7),
_xlpm.m,IF(_xlpm.d-_xlpm.h&lt;C7,IF(_xlpm.d-_xlpm.h&gt;0,_xlpm.d-_xlpm.h,0),C7),
_xlpm.l,IF(_xlpm.d-_xlpm.h-_xlpm.m&lt;D7,IF(_xlpm.d-_xlpm.h-_xlpm.m&gt;0,_xlpm.d-_xlpm.h-_xlpm.m,0),D7),
_xlpm.sold,_xlpm.h+_xlpm.m+_xlpm.l,
_xlpm.profit,
Inputs!$B$4*_xlpm.sold
-(B7*Inputs!$B$2+C7*Inputs!$C$2+D7*Inputs!$D$2)
-(_xlpm.h*Inputs!$B$3+_xlpm.m*Inputs!$C$3+_xlpm.l*Inputs!$D$3),
AVERAGE(_xlpm.profit)
)</f>
        <v>27825.7</v>
      </c>
      <c r="F7" s="2">
        <f t="array" ref="F7">_xlfn.LET(
_xlpm.d,Simulation!$B$2:$B$101,
_xlpm.h,IF(_xlpm.d&lt;B7,_xlpm.d,B7),
_xlpm.m,IF(_xlpm.d-_xlpm.h&lt;C7,IF(_xlpm.d-_xlpm.h&gt;0,_xlpm.d-_xlpm.h,0),C7),
_xlpm.l,IF(_xlpm.d-_xlpm.h-_xlpm.m&lt;D7,IF(_xlpm.d-_xlpm.h-_xlpm.m&gt;0,_xlpm.d-_xlpm.h-_xlpm.m,0),D7),
_xlpm.sold,_xlpm.h+_xlpm.m+_xlpm.l,
AVERAGE(IF(_xlpm.d-_xlpm.sold&gt;0,_xlpm.d-_xlpm.sold,0))
)</f>
        <v>13.86</v>
      </c>
      <c r="G7" s="2">
        <f t="array" ref="G7">_xlfn.LET(
_xlpm.d,Simulation!$B$2:$B$101,
_xlpm.h,IF(_xlpm.d&lt;B7,_xlpm.d,B7),
_xlpm.m,IF(_xlpm.d-_xlpm.h&lt;C7,IF(_xlpm.d-_xlpm.h&gt;0,_xlpm.d-_xlpm.h,0),C7),
_xlpm.l,IF(_xlpm.d-_xlpm.h-_xlpm.m&lt;D7,IF(_xlpm.d-_xlpm.h-_xlpm.m&gt;0,_xlpm.d-_xlpm.h-_xlpm.m,0),D7),
_xlpm.sold,_xlpm.h+_xlpm.m+_xlpm.l,
AVERAGE(B7+C7+D7-_xlpm.sold)
)</f>
        <v>290.98</v>
      </c>
    </row>
    <row r="8" spans="1:7" ht="15.75" customHeight="1">
      <c r="A8" s="2" t="s">
        <v>39</v>
      </c>
      <c r="B8" s="2">
        <v>965</v>
      </c>
      <c r="C8" s="2">
        <v>35</v>
      </c>
      <c r="D8" s="2">
        <v>0</v>
      </c>
      <c r="E8" s="2">
        <f t="array" ref="E8">_xlfn.LET(
_xlpm.d,Simulation!$B$2:$B$101,
_xlpm.h,IF(_xlpm.d&lt;B8,_xlpm.d,B8),
_xlpm.m,IF(_xlpm.d-_xlpm.h&lt;C8,IF(_xlpm.d-_xlpm.h&gt;0,_xlpm.d-_xlpm.h,0),C8),
_xlpm.l,IF(_xlpm.d-_xlpm.h-_xlpm.m&lt;D8,IF(_xlpm.d-_xlpm.h-_xlpm.m&gt;0,_xlpm.d-_xlpm.h-_xlpm.m,0),D8),
_xlpm.sold,_xlpm.h+_xlpm.m+_xlpm.l,
_xlpm.profit,
Inputs!$B$4*_xlpm.sold
-(B8*Inputs!$B$2+C8*Inputs!$C$2+D8*Inputs!$D$2)
-(_xlpm.h*Inputs!$B$3+_xlpm.m*Inputs!$C$3+_xlpm.l*Inputs!$D$3),
AVERAGE(_xlpm.profit)
)</f>
        <v>31323.1</v>
      </c>
      <c r="F8" s="2">
        <f t="array" ref="F8">_xlfn.LET(
_xlpm.d,Simulation!$B$2:$B$101,
_xlpm.h,IF(_xlpm.d&lt;B8,_xlpm.d,B8),
_xlpm.m,IF(_xlpm.d-_xlpm.h&lt;C8,IF(_xlpm.d-_xlpm.h&gt;0,_xlpm.d-_xlpm.h,0),C8),
_xlpm.l,IF(_xlpm.d-_xlpm.h-_xlpm.m&lt;D8,IF(_xlpm.d-_xlpm.h-_xlpm.m&gt;0,_xlpm.d-_xlpm.h-_xlpm.m,0),D8),
_xlpm.sold,_xlpm.h+_xlpm.m+_xlpm.l,
AVERAGE(IF(_xlpm.d-_xlpm.sold&gt;0,_xlpm.d-_xlpm.sold,0))
)</f>
        <v>88.01</v>
      </c>
      <c r="G8" s="2">
        <f t="array" ref="G8">_xlfn.LET(
_xlpm.d,Simulation!$B$2:$B$101,
_xlpm.h,IF(_xlpm.d&lt;B8,_xlpm.d,B8),
_xlpm.m,IF(_xlpm.d-_xlpm.h&lt;C8,IF(_xlpm.d-_xlpm.h&gt;0,_xlpm.d-_xlpm.h,0),C8),
_xlpm.l,IF(_xlpm.d-_xlpm.h-_xlpm.m&lt;D8,IF(_xlpm.d-_xlpm.h-_xlpm.m&gt;0,_xlpm.d-_xlpm.h-_xlpm.m,0),D8),
_xlpm.sold,_xlpm.h+_xlpm.m+_xlpm.l,
AVERAGE(B8+C8+D8-_xlpm.sold)
)</f>
        <v>98.13</v>
      </c>
    </row>
    <row r="9" spans="1:7" ht="15.75" customHeight="1">
      <c r="A9" s="2" t="s">
        <v>40</v>
      </c>
      <c r="B9" s="2">
        <v>965</v>
      </c>
      <c r="C9" s="2">
        <v>0</v>
      </c>
      <c r="D9" s="2">
        <v>302</v>
      </c>
      <c r="E9" s="2">
        <f t="array" ref="E9">_xlfn.LET(
_xlpm.d,Simulation!$B$2:$B$101,
_xlpm.h,IF(_xlpm.d&lt;B9,_xlpm.d,B9),
_xlpm.m,IF(_xlpm.d-_xlpm.h&lt;C9,IF(_xlpm.d-_xlpm.h&gt;0,_xlpm.d-_xlpm.h,0),C9),
_xlpm.l,IF(_xlpm.d-_xlpm.h-_xlpm.m&lt;D9,IF(_xlpm.d-_xlpm.h-_xlpm.m&gt;0,_xlpm.d-_xlpm.h-_xlpm.m,0),D9),
_xlpm.sold,_xlpm.h+_xlpm.m+_xlpm.l,
_xlpm.profit,
Inputs!$B$4*_xlpm.sold
-(B9*Inputs!$B$2+C9*Inputs!$C$2+D9*Inputs!$D$2)
-(_xlpm.h*Inputs!$B$3+_xlpm.m*Inputs!$C$3+_xlpm.l*Inputs!$D$3),
AVERAGE(_xlpm.profit)
)</f>
        <v>32985.5</v>
      </c>
      <c r="F9" s="2">
        <f t="array" ref="F9">_xlfn.LET(
_xlpm.d,Simulation!$B$2:$B$101,
_xlpm.h,IF(_xlpm.d&lt;B9,_xlpm.d,B9),
_xlpm.m,IF(_xlpm.d-_xlpm.h&lt;C9,IF(_xlpm.d-_xlpm.h&gt;0,_xlpm.d-_xlpm.h,0),C9),
_xlpm.l,IF(_xlpm.d-_xlpm.h-_xlpm.m&lt;D9,IF(_xlpm.d-_xlpm.h-_xlpm.m&gt;0,_xlpm.d-_xlpm.h-_xlpm.m,0),D9),
_xlpm.sold,_xlpm.h+_xlpm.m+_xlpm.l,
AVERAGE(IF(_xlpm.d-_xlpm.sold&gt;0,_xlpm.d-_xlpm.sold,0))
)</f>
        <v>13.86</v>
      </c>
      <c r="G9" s="2">
        <f t="array" ref="G9">_xlfn.LET(
_xlpm.d,Simulation!$B$2:$B$101,
_xlpm.h,IF(_xlpm.d&lt;B9,_xlpm.d,B9),
_xlpm.m,IF(_xlpm.d-_xlpm.h&lt;C9,IF(_xlpm.d-_xlpm.h&gt;0,_xlpm.d-_xlpm.h,0),C9),
_xlpm.l,IF(_xlpm.d-_xlpm.h-_xlpm.m&lt;D9,IF(_xlpm.d-_xlpm.h-_xlpm.m&gt;0,_xlpm.d-_xlpm.h-_xlpm.m,0),D9),
_xlpm.sold,_xlpm.h+_xlpm.m+_xlpm.l,
AVERAGE(B9+C9+D9-_xlpm.sold)
)</f>
        <v>290.98</v>
      </c>
    </row>
    <row r="10" spans="1:7" ht="15.75" customHeight="1">
      <c r="A10" s="2" t="s">
        <v>41</v>
      </c>
      <c r="B10" s="2">
        <v>965</v>
      </c>
      <c r="C10" s="2">
        <v>35</v>
      </c>
      <c r="D10" s="2">
        <v>267</v>
      </c>
      <c r="E10" s="2">
        <f t="array" ref="E10">_xlfn.LET(
_xlpm.d,Simulation!$B$2:$B$101,
_xlpm.h,IF(_xlpm.d&lt;B10,_xlpm.d,B10),
_xlpm.m,IF(_xlpm.d-_xlpm.h&lt;C10,IF(_xlpm.d-_xlpm.h&gt;0,_xlpm.d-_xlpm.h,0),C10),
_xlpm.l,IF(_xlpm.d-_xlpm.h-_xlpm.m&lt;D10,IF(_xlpm.d-_xlpm.h-_xlpm.m&gt;0,_xlpm.d-_xlpm.h-_xlpm.m,0),D10),
_xlpm.sold,_xlpm.h+_xlpm.m+_xlpm.l,
_xlpm.profit,
Inputs!$B$4*_xlpm.sold
-(B10*Inputs!$B$2+C10*Inputs!$C$2+D10*Inputs!$D$2)
-(_xlpm.h*Inputs!$B$3+_xlpm.m*Inputs!$C$3+_xlpm.l*Inputs!$D$3),
AVERAGE(_xlpm.profit)
)</f>
        <v>32583.35</v>
      </c>
      <c r="F10" s="2">
        <f t="array" ref="F10">_xlfn.LET(
_xlpm.d,Simulation!$B$2:$B$101,
_xlpm.h,IF(_xlpm.d&lt;B10,_xlpm.d,B10),
_xlpm.m,IF(_xlpm.d-_xlpm.h&lt;C10,IF(_xlpm.d-_xlpm.h&gt;0,_xlpm.d-_xlpm.h,0),C10),
_xlpm.l,IF(_xlpm.d-_xlpm.h-_xlpm.m&lt;D10,IF(_xlpm.d-_xlpm.h-_xlpm.m&gt;0,_xlpm.d-_xlpm.h-_xlpm.m,0),D10),
_xlpm.sold,_xlpm.h+_xlpm.m+_xlpm.l,
AVERAGE(IF(_xlpm.d-_xlpm.sold&gt;0,_xlpm.d-_xlpm.sold,0))
)</f>
        <v>13.86</v>
      </c>
      <c r="G10" s="2">
        <f t="array" ref="G10">_xlfn.LET(
_xlpm.d,Simulation!$B$2:$B$101,
_xlpm.h,IF(_xlpm.d&lt;B10,_xlpm.d,B10),
_xlpm.m,IF(_xlpm.d-_xlpm.h&lt;C10,IF(_xlpm.d-_xlpm.h&gt;0,_xlpm.d-_xlpm.h,0),C10),
_xlpm.l,IF(_xlpm.d-_xlpm.h-_xlpm.m&lt;D10,IF(_xlpm.d-_xlpm.h-_xlpm.m&gt;0,_xlpm.d-_xlpm.h-_xlpm.m,0),D10),
_xlpm.sold,_xlpm.h+_xlpm.m+_xlpm.l,
AVERAGE(B10+C10+D10-_xlpm.sold)
)</f>
        <v>290.98</v>
      </c>
    </row>
    <row r="11" spans="1:7" s="6" customFormat="1">
      <c r="A11" s="3" t="s">
        <v>42</v>
      </c>
      <c r="B11" s="3">
        <v>788</v>
      </c>
      <c r="C11" s="3">
        <v>0</v>
      </c>
      <c r="D11" s="3">
        <v>451</v>
      </c>
      <c r="E11" s="4">
        <v>34393.300000000003</v>
      </c>
      <c r="F11" s="5">
        <v>17.579999999999998</v>
      </c>
      <c r="G11" s="5">
        <v>266.7</v>
      </c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Inputs</vt:lpstr>
      <vt:lpstr>Simulation</vt:lpstr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2026-09-27T09:19:58Z</dcterms:created>
  <dcterms:modified xsi:type="dcterms:W3CDTF">2026-10-09T09:18:57Z</dcterms:modified>
  <dc:language>zh-CN</dc:language>
</cp:coreProperties>
</file>